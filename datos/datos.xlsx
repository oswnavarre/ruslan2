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earthac-my.sharepoint.com/personal/onavarrete_earth_ac_cr/Documents/2025/ruslan/datos/"/>
    </mc:Choice>
  </mc:AlternateContent>
  <xr:revisionPtr revIDLastSave="36" documentId="13_ncr:1_{8BDFCBAD-BD2F-4B35-A3FE-1FC8F037E55B}" xr6:coauthVersionLast="47" xr6:coauthVersionMax="47" xr10:uidLastSave="{B9B38049-5C23-41D3-9C31-99C7607A14C5}"/>
  <bookViews>
    <workbookView xWindow="-110" yWindow="-110" windowWidth="19420" windowHeight="10300" activeTab="2" xr2:uid="{D9A35420-DDE7-4C0E-B3DC-3697DF7E858F}"/>
  </bookViews>
  <sheets>
    <sheet name="Ha por Mes" sheetId="2" r:id="rId1"/>
    <sheet name="Ha por Hora" sheetId="3" r:id="rId2"/>
    <sheet name="Hoja" sheetId="1" r:id="rId3"/>
    <sheet name="Sheet1" sheetId="4" r:id="rId4"/>
  </sheets>
  <definedNames>
    <definedName name="_xlnm._FilterDatabase" localSheetId="2" hidden="1">Hoja!$A$1:$J$82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I2" i="1"/>
  <c r="I3" i="1"/>
  <c r="J4" i="1"/>
  <c r="I4" i="1"/>
  <c r="J5" i="1"/>
  <c r="I5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J6" i="1"/>
  <c r="I6" i="1"/>
  <c r="E21" i="2"/>
  <c r="E20" i="2"/>
  <c r="G21" i="2" l="1"/>
  <c r="H21" i="2" s="1"/>
</calcChain>
</file>

<file path=xl/sharedStrings.xml><?xml version="1.0" encoding="utf-8"?>
<sst xmlns="http://schemas.openxmlformats.org/spreadsheetml/2006/main" count="156" uniqueCount="48">
  <si>
    <t>Ha</t>
  </si>
  <si>
    <t>Horas</t>
  </si>
  <si>
    <t>Vuelos</t>
  </si>
  <si>
    <t>Mes</t>
  </si>
  <si>
    <t>Año</t>
  </si>
  <si>
    <t>Mayo</t>
  </si>
  <si>
    <t>Abril</t>
  </si>
  <si>
    <t>Marzo</t>
  </si>
  <si>
    <t>Febrero</t>
  </si>
  <si>
    <t>Enero</t>
  </si>
  <si>
    <t>Diciembre</t>
  </si>
  <si>
    <t>Noviembre</t>
  </si>
  <si>
    <t>Octubre</t>
  </si>
  <si>
    <t>Septiembre</t>
  </si>
  <si>
    <t>Agosto</t>
  </si>
  <si>
    <t>Julio</t>
  </si>
  <si>
    <t>Junio</t>
  </si>
  <si>
    <t>Etiquetas de fila</t>
  </si>
  <si>
    <t>Total general</t>
  </si>
  <si>
    <t>Suma de Ha</t>
  </si>
  <si>
    <t>Etiquetas de columna</t>
  </si>
  <si>
    <t>Promedio de Ha/Hr</t>
  </si>
  <si>
    <t>Método Convencional</t>
  </si>
  <si>
    <t>Método Drone</t>
  </si>
  <si>
    <t>L/Ha</t>
  </si>
  <si>
    <t>Total Agua Necesaria</t>
  </si>
  <si>
    <t>L</t>
  </si>
  <si>
    <t>Diferencia</t>
  </si>
  <si>
    <t>% agua ahorrada por Ha con el uso de drone</t>
  </si>
  <si>
    <t xml:space="preserve">125 millones de agua menos en 6.5 años </t>
  </si>
  <si>
    <t>125 millones de agua no contaminada</t>
  </si>
  <si>
    <t>impacto operativo por menos logistica de agua</t>
  </si>
  <si>
    <t>impacto ambiental menos uso de agua</t>
  </si>
  <si>
    <t>Litros</t>
  </si>
  <si>
    <t>Kg</t>
  </si>
  <si>
    <t>Drones</t>
  </si>
  <si>
    <t>Ha_hr</t>
  </si>
  <si>
    <t>Vu_ha</t>
  </si>
  <si>
    <t>Variable</t>
  </si>
  <si>
    <t>Etiqueta</t>
  </si>
  <si>
    <t>Hectáreas</t>
  </si>
  <si>
    <t>Horas de vuelo</t>
  </si>
  <si>
    <t>Número de vuelos</t>
  </si>
  <si>
    <t>Litros aplicados</t>
  </si>
  <si>
    <t>Kg aplicados</t>
  </si>
  <si>
    <t>Número de drones vendidos</t>
  </si>
  <si>
    <t>Hectáreas por hora</t>
  </si>
  <si>
    <t>Vuelos por hectárea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</si>
</sst>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1" xfId="1" applyNumberFormat="1" applyFont="1" applyBorder="1"/>
    <xf numFmtId="164" fontId="0" fillId="0" borderId="1" xfId="1" applyNumberFormat="1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wrapText="1"/>
    </xf>
    <xf numFmtId="10" fontId="0" fillId="0" borderId="1" xfId="2" applyNumberFormat="1" applyFont="1" applyBorder="1"/>
    <xf numFmtId="43" fontId="0" fillId="0" borderId="0" xfId="1" applyFont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0" borderId="0" xfId="0" applyNumberFormat="1"/>
    <xf numFmtId="164" fontId="0" fillId="0" borderId="0" xfId="0" pivotButton="1" applyNumberFormat="1"/>
    <xf numFmtId="2" fontId="3" fillId="2" borderId="1" xfId="0" applyNumberFormat="1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7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</dxfs>
  <tableStyles count="0" defaultTableStyle="TableStyleMedium2" defaultPivotStyle="PivotStyleLight16"/>
  <colors>
    <mruColors>
      <color rgb="FFB8AB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[datos.xlsx]Ha por Mes!TablaDinámica1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rgbClr val="B8AB0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rgbClr val="FFFF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'Ha por Mes'!$B$3:$B$4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 por Mes'!$A$5:$A$17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'Ha por Mes'!$B$5:$B$17</c:f>
              <c:numCache>
                <c:formatCode>_-* #\ ##0_-;\-* #\ ##0_-;_-* "-"??_-;_-@_-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4.87</c:v>
                </c:pt>
                <c:pt idx="3">
                  <c:v>55.97</c:v>
                </c:pt>
                <c:pt idx="4">
                  <c:v>237.91</c:v>
                </c:pt>
                <c:pt idx="5">
                  <c:v>342.59</c:v>
                </c:pt>
                <c:pt idx="6">
                  <c:v>597.30999999999995</c:v>
                </c:pt>
                <c:pt idx="7">
                  <c:v>541.26</c:v>
                </c:pt>
                <c:pt idx="8">
                  <c:v>553.51</c:v>
                </c:pt>
                <c:pt idx="9">
                  <c:v>783.1</c:v>
                </c:pt>
                <c:pt idx="10">
                  <c:v>355.69</c:v>
                </c:pt>
                <c:pt idx="11">
                  <c:v>368.26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D4-47E1-AE75-412A9911C865}"/>
            </c:ext>
          </c:extLst>
        </c:ser>
        <c:ser>
          <c:idx val="1"/>
          <c:order val="1"/>
          <c:tx>
            <c:strRef>
              <c:f>'Ha por Mes'!$C$3:$C$4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'Ha por Mes'!$A$5:$A$17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'Ha por Mes'!$C$5:$C$17</c:f>
              <c:numCache>
                <c:formatCode>_-* #\ ##0_-;\-* #\ ##0_-;_-* "-"??_-;_-@_-</c:formatCode>
                <c:ptCount val="12"/>
                <c:pt idx="0">
                  <c:v>404.01</c:v>
                </c:pt>
                <c:pt idx="1">
                  <c:v>92.68</c:v>
                </c:pt>
                <c:pt idx="2">
                  <c:v>207.97</c:v>
                </c:pt>
                <c:pt idx="3">
                  <c:v>217.95</c:v>
                </c:pt>
                <c:pt idx="4">
                  <c:v>208.87</c:v>
                </c:pt>
                <c:pt idx="5">
                  <c:v>856.29</c:v>
                </c:pt>
                <c:pt idx="6">
                  <c:v>1866.33</c:v>
                </c:pt>
                <c:pt idx="7">
                  <c:v>1204.3399999999999</c:v>
                </c:pt>
                <c:pt idx="8">
                  <c:v>1265.95</c:v>
                </c:pt>
                <c:pt idx="9">
                  <c:v>1079.82</c:v>
                </c:pt>
                <c:pt idx="10">
                  <c:v>1066.67</c:v>
                </c:pt>
                <c:pt idx="11">
                  <c:v>1806.11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BD4-47E1-AE75-412A9911C865}"/>
            </c:ext>
          </c:extLst>
        </c:ser>
        <c:ser>
          <c:idx val="2"/>
          <c:order val="2"/>
          <c:tx>
            <c:strRef>
              <c:f>'Ha por Mes'!$D$3:$D$4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'Ha por Mes'!$A$5:$A$17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'Ha por Mes'!$D$5:$D$17</c:f>
              <c:numCache>
                <c:formatCode>_-* #\ ##0_-;\-* #\ ##0_-;_-* "-"??_-;_-@_-</c:formatCode>
                <c:ptCount val="12"/>
                <c:pt idx="0">
                  <c:v>1524.01</c:v>
                </c:pt>
                <c:pt idx="1">
                  <c:v>1234.97</c:v>
                </c:pt>
                <c:pt idx="2">
                  <c:v>1701.4</c:v>
                </c:pt>
                <c:pt idx="3">
                  <c:v>1089.53</c:v>
                </c:pt>
                <c:pt idx="4">
                  <c:v>1142.2</c:v>
                </c:pt>
                <c:pt idx="5">
                  <c:v>2945.88</c:v>
                </c:pt>
                <c:pt idx="6">
                  <c:v>2372.09</c:v>
                </c:pt>
                <c:pt idx="7">
                  <c:v>3153.53</c:v>
                </c:pt>
                <c:pt idx="8">
                  <c:v>3282.91</c:v>
                </c:pt>
                <c:pt idx="9">
                  <c:v>4342.5600000000004</c:v>
                </c:pt>
                <c:pt idx="10">
                  <c:v>3927.36</c:v>
                </c:pt>
                <c:pt idx="11">
                  <c:v>4203.43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BD4-47E1-AE75-412A9911C865}"/>
            </c:ext>
          </c:extLst>
        </c:ser>
        <c:ser>
          <c:idx val="3"/>
          <c:order val="3"/>
          <c:tx>
            <c:strRef>
              <c:f>'Ha por Mes'!$E$3:$E$4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'Ha por Mes'!$A$5:$A$17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'Ha por Mes'!$E$5:$E$17</c:f>
              <c:numCache>
                <c:formatCode>_-* #\ ##0_-;\-* #\ ##0_-;_-* "-"??_-;_-@_-</c:formatCode>
                <c:ptCount val="12"/>
                <c:pt idx="0">
                  <c:v>4261.03</c:v>
                </c:pt>
                <c:pt idx="1">
                  <c:v>3927.19</c:v>
                </c:pt>
                <c:pt idx="2">
                  <c:v>2597.64</c:v>
                </c:pt>
                <c:pt idx="3">
                  <c:v>3497.6</c:v>
                </c:pt>
                <c:pt idx="4">
                  <c:v>4718.2</c:v>
                </c:pt>
                <c:pt idx="5">
                  <c:v>3927.25</c:v>
                </c:pt>
                <c:pt idx="6">
                  <c:v>4630.74</c:v>
                </c:pt>
                <c:pt idx="7">
                  <c:v>6007.68</c:v>
                </c:pt>
                <c:pt idx="8">
                  <c:v>4785.21</c:v>
                </c:pt>
                <c:pt idx="9">
                  <c:v>4552.01</c:v>
                </c:pt>
                <c:pt idx="10">
                  <c:v>4183.95</c:v>
                </c:pt>
                <c:pt idx="11">
                  <c:v>5576.8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BD4-47E1-AE75-412A9911C865}"/>
            </c:ext>
          </c:extLst>
        </c:ser>
        <c:ser>
          <c:idx val="4"/>
          <c:order val="4"/>
          <c:tx>
            <c:strRef>
              <c:f>'Ha por Mes'!$F$3:$F$4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'Ha por Mes'!$A$5:$A$17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'Ha por Mes'!$F$5:$F$17</c:f>
              <c:numCache>
                <c:formatCode>_-* #\ ##0_-;\-* #\ ##0_-;_-* "-"??_-;_-@_-</c:formatCode>
                <c:ptCount val="12"/>
                <c:pt idx="0">
                  <c:v>5284.34</c:v>
                </c:pt>
                <c:pt idx="1">
                  <c:v>4189.71</c:v>
                </c:pt>
                <c:pt idx="2">
                  <c:v>3796.24</c:v>
                </c:pt>
                <c:pt idx="3">
                  <c:v>2642.77</c:v>
                </c:pt>
                <c:pt idx="4">
                  <c:v>3055.26</c:v>
                </c:pt>
                <c:pt idx="5">
                  <c:v>6853.03</c:v>
                </c:pt>
                <c:pt idx="6">
                  <c:v>8346.4</c:v>
                </c:pt>
                <c:pt idx="7">
                  <c:v>7532.41</c:v>
                </c:pt>
                <c:pt idx="8">
                  <c:v>7159.39</c:v>
                </c:pt>
                <c:pt idx="9">
                  <c:v>6320.61</c:v>
                </c:pt>
                <c:pt idx="10">
                  <c:v>7273.95</c:v>
                </c:pt>
                <c:pt idx="11">
                  <c:v>7313.9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BBD4-47E1-AE75-412A9911C865}"/>
            </c:ext>
          </c:extLst>
        </c:ser>
        <c:ser>
          <c:idx val="5"/>
          <c:order val="5"/>
          <c:tx>
            <c:strRef>
              <c:f>'Ha por Mes'!$G$3:$G$4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'Ha por Mes'!$A$5:$A$17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'Ha por Mes'!$G$5:$G$17</c:f>
              <c:numCache>
                <c:formatCode>_-* #\ ##0_-;\-* #\ ##0_-;_-* "-"??_-;_-@_-</c:formatCode>
                <c:ptCount val="12"/>
                <c:pt idx="0">
                  <c:v>7434.63</c:v>
                </c:pt>
                <c:pt idx="1">
                  <c:v>4946.3500000000004</c:v>
                </c:pt>
                <c:pt idx="2">
                  <c:v>5079.9799999999996</c:v>
                </c:pt>
                <c:pt idx="3">
                  <c:v>3684.64</c:v>
                </c:pt>
                <c:pt idx="4">
                  <c:v>7413</c:v>
                </c:pt>
                <c:pt idx="5">
                  <c:v>10830</c:v>
                </c:pt>
                <c:pt idx="6">
                  <c:v>12350</c:v>
                </c:pt>
                <c:pt idx="7">
                  <c:v>10880</c:v>
                </c:pt>
                <c:pt idx="8">
                  <c:v>9368.66</c:v>
                </c:pt>
                <c:pt idx="9">
                  <c:v>11790</c:v>
                </c:pt>
                <c:pt idx="10">
                  <c:v>7816.49</c:v>
                </c:pt>
                <c:pt idx="11">
                  <c:v>10770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BD4-47E1-AE75-412A9911C865}"/>
            </c:ext>
          </c:extLst>
        </c:ser>
        <c:ser>
          <c:idx val="6"/>
          <c:order val="6"/>
          <c:tx>
            <c:strRef>
              <c:f>'Ha por Mes'!$H$3:$H$4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rgbClr val="B8AB0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rgbClr val="FFFF00"/>
                </a:solidFill>
              </a:ln>
              <a:effectLst/>
            </c:spPr>
          </c:marker>
          <c:cat>
            <c:strRef>
              <c:f>'Ha por Mes'!$A$5:$A$17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'Ha por Mes'!$H$5:$H$17</c:f>
              <c:numCache>
                <c:formatCode>_-* #\ ##0_-;\-* #\ ##0_-;_-* "-"??_-;_-@_-</c:formatCode>
                <c:ptCount val="12"/>
                <c:pt idx="0">
                  <c:v>14060</c:v>
                </c:pt>
                <c:pt idx="1">
                  <c:v>12750</c:v>
                </c:pt>
                <c:pt idx="2">
                  <c:v>11080</c:v>
                </c:pt>
                <c:pt idx="3">
                  <c:v>8605.35</c:v>
                </c:pt>
                <c:pt idx="4">
                  <c:v>11090</c:v>
                </c:pt>
                <c:pt idx="5">
                  <c:v>13617</c:v>
                </c:pt>
                <c:pt idx="6">
                  <c:v>12984</c:v>
                </c:pt>
                <c:pt idx="7">
                  <c:v>11414</c:v>
                </c:pt>
                <c:pt idx="8">
                  <c:v>12424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BBD4-47E1-AE75-412A9911C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23455"/>
        <c:axId val="1104234495"/>
      </c:lineChart>
      <c:catAx>
        <c:axId val="110422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104234495"/>
        <c:crosses val="autoZero"/>
        <c:auto val="1"/>
        <c:lblAlgn val="ctr"/>
        <c:lblOffset val="100"/>
        <c:noMultiLvlLbl val="0"/>
      </c:catAx>
      <c:valAx>
        <c:axId val="110423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10422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[datos.xlsx]Ha por Hora!TablaDinámica2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FFFF0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rgbClr val="FFFF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'Ha por Hora'!$B$3:$B$4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 por Hora'!$A$5:$A$17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'Ha por Hora'!$B$5:$B$17</c:f>
              <c:numCache>
                <c:formatCode>0.00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2.1173913043478261</c:v>
                </c:pt>
                <c:pt idx="3">
                  <c:v>2.8702564102564101</c:v>
                </c:pt>
                <c:pt idx="4">
                  <c:v>3.3227653631284917</c:v>
                </c:pt>
                <c:pt idx="5">
                  <c:v>3.9019362186788151</c:v>
                </c:pt>
                <c:pt idx="6">
                  <c:v>3.6577464788732388</c:v>
                </c:pt>
                <c:pt idx="7">
                  <c:v>3.8995677233429391</c:v>
                </c:pt>
                <c:pt idx="8">
                  <c:v>4.1869137670196679</c:v>
                </c:pt>
                <c:pt idx="9">
                  <c:v>4.508347725964307</c:v>
                </c:pt>
                <c:pt idx="10">
                  <c:v>3.9433481152993348</c:v>
                </c:pt>
                <c:pt idx="11">
                  <c:v>3.2417253521126761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05-4595-8285-248BE2854184}"/>
            </c:ext>
          </c:extLst>
        </c:ser>
        <c:ser>
          <c:idx val="1"/>
          <c:order val="1"/>
          <c:tx>
            <c:strRef>
              <c:f>'Ha por Hora'!$C$3:$C$4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'Ha por Hora'!$A$5:$A$17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'Ha por Hora'!$C$5:$C$17</c:f>
              <c:numCache>
                <c:formatCode>0.00</c:formatCode>
                <c:ptCount val="12"/>
                <c:pt idx="0">
                  <c:v>3.3416873449131512</c:v>
                </c:pt>
                <c:pt idx="1">
                  <c:v>2.1208237986270024</c:v>
                </c:pt>
                <c:pt idx="2">
                  <c:v>4.3875527426160339</c:v>
                </c:pt>
                <c:pt idx="3">
                  <c:v>4.4479591836734693</c:v>
                </c:pt>
                <c:pt idx="4">
                  <c:v>2.6985788113695088</c:v>
                </c:pt>
                <c:pt idx="5">
                  <c:v>5.0608156028368798</c:v>
                </c:pt>
                <c:pt idx="6">
                  <c:v>5.5249555950266425</c:v>
                </c:pt>
                <c:pt idx="7">
                  <c:v>4.6825038880248835</c:v>
                </c:pt>
                <c:pt idx="8">
                  <c:v>4.8935059914959416</c:v>
                </c:pt>
                <c:pt idx="9">
                  <c:v>5.7193855932203386</c:v>
                </c:pt>
                <c:pt idx="10">
                  <c:v>6.3116568047337278</c:v>
                </c:pt>
                <c:pt idx="11">
                  <c:v>6.5367716250452403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05-4595-8285-248BE2854184}"/>
            </c:ext>
          </c:extLst>
        </c:ser>
        <c:ser>
          <c:idx val="2"/>
          <c:order val="2"/>
          <c:tx>
            <c:strRef>
              <c:f>'Ha por Hora'!$D$3:$D$4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'Ha por Hora'!$A$5:$A$17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'Ha por Hora'!$D$5:$D$17</c:f>
              <c:numCache>
                <c:formatCode>0.00</c:formatCode>
                <c:ptCount val="12"/>
                <c:pt idx="0">
                  <c:v>6.690122914837576</c:v>
                </c:pt>
                <c:pt idx="1">
                  <c:v>6.8268103924820345</c:v>
                </c:pt>
                <c:pt idx="2">
                  <c:v>7.2032176121930576</c:v>
                </c:pt>
                <c:pt idx="3">
                  <c:v>6.3640771028037388</c:v>
                </c:pt>
                <c:pt idx="4">
                  <c:v>6.0497881355932206</c:v>
                </c:pt>
                <c:pt idx="5">
                  <c:v>6.611041292639138</c:v>
                </c:pt>
                <c:pt idx="6">
                  <c:v>7.1925106124924199</c:v>
                </c:pt>
                <c:pt idx="7">
                  <c:v>7.8897423067300485</c:v>
                </c:pt>
                <c:pt idx="8">
                  <c:v>6.3352180625241212</c:v>
                </c:pt>
                <c:pt idx="9">
                  <c:v>6.2339362618432386</c:v>
                </c:pt>
                <c:pt idx="10">
                  <c:v>7.0648677819751757</c:v>
                </c:pt>
                <c:pt idx="11">
                  <c:v>6.5402676209740163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05-4595-8285-248BE2854184}"/>
            </c:ext>
          </c:extLst>
        </c:ser>
        <c:ser>
          <c:idx val="3"/>
          <c:order val="3"/>
          <c:tx>
            <c:strRef>
              <c:f>'Ha por Hora'!$E$3:$E$4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'Ha por Hora'!$A$5:$A$17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'Ha por Hora'!$E$5:$E$17</c:f>
              <c:numCache>
                <c:formatCode>0.00</c:formatCode>
                <c:ptCount val="12"/>
                <c:pt idx="0">
                  <c:v>6.6557794439237732</c:v>
                </c:pt>
                <c:pt idx="1">
                  <c:v>7.4803619047619048</c:v>
                </c:pt>
                <c:pt idx="2">
                  <c:v>7.032051976177585</c:v>
                </c:pt>
                <c:pt idx="3">
                  <c:v>7.0232931726907628</c:v>
                </c:pt>
                <c:pt idx="4">
                  <c:v>6.9961447212336889</c:v>
                </c:pt>
                <c:pt idx="5">
                  <c:v>7.1378589603780433</c:v>
                </c:pt>
                <c:pt idx="6">
                  <c:v>6.4342642767819918</c:v>
                </c:pt>
                <c:pt idx="7">
                  <c:v>6.7631205673758874</c:v>
                </c:pt>
                <c:pt idx="8">
                  <c:v>6.8409006433166546</c:v>
                </c:pt>
                <c:pt idx="9">
                  <c:v>7.0672411116286291</c:v>
                </c:pt>
                <c:pt idx="10">
                  <c:v>6.7115014436958615</c:v>
                </c:pt>
                <c:pt idx="11">
                  <c:v>6.0518719479110148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05-4595-8285-248BE2854184}"/>
            </c:ext>
          </c:extLst>
        </c:ser>
        <c:ser>
          <c:idx val="4"/>
          <c:order val="4"/>
          <c:tx>
            <c:strRef>
              <c:f>'Ha por Hora'!$F$3:$F$4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'Ha por Hora'!$A$5:$A$17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'Ha por Hora'!$F$5:$F$17</c:f>
              <c:numCache>
                <c:formatCode>0.00</c:formatCode>
                <c:ptCount val="12"/>
                <c:pt idx="0">
                  <c:v>5.54030195009436</c:v>
                </c:pt>
                <c:pt idx="1">
                  <c:v>5.6579473328831869</c:v>
                </c:pt>
                <c:pt idx="2">
                  <c:v>5.5033922876196</c:v>
                </c:pt>
                <c:pt idx="3">
                  <c:v>5.2280316518298715</c:v>
                </c:pt>
                <c:pt idx="4">
                  <c:v>6.4294191919191928</c:v>
                </c:pt>
                <c:pt idx="5">
                  <c:v>8.3339778669585307</c:v>
                </c:pt>
                <c:pt idx="6">
                  <c:v>8.3338991512730907</c:v>
                </c:pt>
                <c:pt idx="7">
                  <c:v>7.5939207581409418</c:v>
                </c:pt>
                <c:pt idx="8">
                  <c:v>8.5648881445148941</c:v>
                </c:pt>
                <c:pt idx="9">
                  <c:v>8.4095396487493339</c:v>
                </c:pt>
                <c:pt idx="10">
                  <c:v>8.8890993523157764</c:v>
                </c:pt>
                <c:pt idx="11">
                  <c:v>9.8080997720262832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05-4595-8285-248BE2854184}"/>
            </c:ext>
          </c:extLst>
        </c:ser>
        <c:ser>
          <c:idx val="5"/>
          <c:order val="5"/>
          <c:tx>
            <c:strRef>
              <c:f>'Ha por Hora'!$G$3:$G$4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'Ha por Hora'!$A$5:$A$17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'Ha por Hora'!$G$5:$G$17</c:f>
              <c:numCache>
                <c:formatCode>0.00</c:formatCode>
                <c:ptCount val="12"/>
                <c:pt idx="0">
                  <c:v>8.8665831842576033</c:v>
                </c:pt>
                <c:pt idx="1">
                  <c:v>8.254923230974633</c:v>
                </c:pt>
                <c:pt idx="2">
                  <c:v>9.5704220045214772</c:v>
                </c:pt>
                <c:pt idx="3">
                  <c:v>8.7562737642585553</c:v>
                </c:pt>
                <c:pt idx="4">
                  <c:v>9.4722719141323797</c:v>
                </c:pt>
                <c:pt idx="5">
                  <c:v>10.090375477499302</c:v>
                </c:pt>
                <c:pt idx="6">
                  <c:v>10.77003575477457</c:v>
                </c:pt>
                <c:pt idx="7">
                  <c:v>10.840972499003588</c:v>
                </c:pt>
                <c:pt idx="8">
                  <c:v>10.451427933958055</c:v>
                </c:pt>
                <c:pt idx="9">
                  <c:v>11.228571428571428</c:v>
                </c:pt>
                <c:pt idx="10">
                  <c:v>9.7014893881097173</c:v>
                </c:pt>
                <c:pt idx="11">
                  <c:v>9.2082763337893301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05-4595-8285-248BE2854184}"/>
            </c:ext>
          </c:extLst>
        </c:ser>
        <c:ser>
          <c:idx val="6"/>
          <c:order val="6"/>
          <c:tx>
            <c:strRef>
              <c:f>'Ha por Hora'!$H$3:$H$4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rgbClr val="FFFF00"/>
                </a:solidFill>
              </a:ln>
              <a:effectLst/>
            </c:spPr>
          </c:marker>
          <c:cat>
            <c:strRef>
              <c:f>'Ha por Hora'!$A$5:$A$17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'Ha por Hora'!$H$5:$H$17</c:f>
              <c:numCache>
                <c:formatCode>0.00</c:formatCode>
                <c:ptCount val="12"/>
                <c:pt idx="0">
                  <c:v>10.441886372075752</c:v>
                </c:pt>
                <c:pt idx="1">
                  <c:v>10.472279260780287</c:v>
                </c:pt>
                <c:pt idx="2">
                  <c:v>10.341609109576254</c:v>
                </c:pt>
                <c:pt idx="3">
                  <c:v>9.0430327868852469</c:v>
                </c:pt>
                <c:pt idx="4">
                  <c:v>8.9004815409309792</c:v>
                </c:pt>
                <c:pt idx="5">
                  <c:v>8.5857503152585117</c:v>
                </c:pt>
                <c:pt idx="6">
                  <c:v>7.8690909090909091</c:v>
                </c:pt>
                <c:pt idx="7">
                  <c:v>7.6347826086956525</c:v>
                </c:pt>
                <c:pt idx="8">
                  <c:v>7.5479951397326852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05-4595-8285-248BE2854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7518127"/>
        <c:axId val="1227521967"/>
      </c:lineChart>
      <c:catAx>
        <c:axId val="122751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27521967"/>
        <c:crosses val="autoZero"/>
        <c:auto val="1"/>
        <c:lblAlgn val="ctr"/>
        <c:lblOffset val="100"/>
        <c:noMultiLvlLbl val="0"/>
      </c:catAx>
      <c:valAx>
        <c:axId val="122752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2751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273050</xdr:colOff>
      <xdr:row>2</xdr:row>
      <xdr:rowOff>73024</xdr:rowOff>
    </xdr:from>
    <xdr:to>
      <xdr:col>22</xdr:col>
      <xdr:colOff>190499</xdr:colOff>
      <xdr:row>33</xdr:row>
      <xdr:rowOff>12700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FBDFF8-1A83-4BB9-D073-5EFFFB31B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247649</xdr:colOff>
      <xdr:row>10</xdr:row>
      <xdr:rowOff>155574</xdr:rowOff>
    </xdr:from>
    <xdr:to>
      <xdr:col>17</xdr:col>
      <xdr:colOff>165100</xdr:colOff>
      <xdr:row>31</xdr:row>
      <xdr:rowOff>44449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AA70CF-2A34-67A1-80FC-2167075A7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ARTH" refreshedDate="45960.83926458333" createdVersion="8" refreshedVersion="8" minRefreshableVersion="3" recordCount="81" xr:uid="{06441903-2E2E-42FA-9DE5-ECDDB4DA6003}">
  <cacheSource type="worksheet">
    <worksheetSource ref="A1:J82" sheet="Hoja"/>
  </cacheSource>
  <cacheFields count="10">
    <cacheField name="Año" numFmtId="0">
      <sharedItems containsSemiMixedTypes="0" containsString="0" containsNumber="1" containsInteger="1" minValue="2019" maxValue="2025" count="7">
        <n v="2025"/>
        <n v="2024"/>
        <n v="2023"/>
        <n v="2022"/>
        <n v="2021"/>
        <n v="2020"/>
        <n v="2019"/>
      </sharedItems>
    </cacheField>
    <cacheField name="Mes" numFmtId="0">
      <sharedItems count="12">
        <s v="Septiembre"/>
        <s v="Agosto"/>
        <s v="Julio"/>
        <s v="Junio"/>
        <s v="Mayo"/>
        <s v="Abril"/>
        <s v="Marzo"/>
        <s v="Febrero"/>
        <s v="Enero"/>
        <s v="Diciembre"/>
        <s v="Noviembre"/>
        <s v="Octubre"/>
      </sharedItems>
    </cacheField>
    <cacheField name="Ha" numFmtId="0">
      <sharedItems containsSemiMixedTypes="0" containsString="0" containsNumber="1" minValue="1" maxValue="14060"/>
    </cacheField>
    <cacheField name="Horas" numFmtId="0">
      <sharedItems containsSemiMixedTypes="0" containsString="0" containsNumber="1" minValue="1" maxValue="1650"/>
    </cacheField>
    <cacheField name="Vuelos" numFmtId="0">
      <sharedItems containsSemiMixedTypes="0" containsString="0" containsNumber="1" containsInteger="1" minValue="1" maxValue="26466"/>
    </cacheField>
    <cacheField name="L aplicados" numFmtId="0">
      <sharedItems containsString="0" containsBlank="1" containsNumber="1" containsInteger="1" minValue="210023" maxValue="393589"/>
    </cacheField>
    <cacheField name="Kg rociados" numFmtId="0">
      <sharedItems containsString="0" containsBlank="1" containsNumber="1" containsInteger="1" minValue="0" maxValue="90671"/>
    </cacheField>
    <cacheField name="# drones" numFmtId="0">
      <sharedItems containsString="0" containsBlank="1" containsNumber="1" containsInteger="1" minValue="62" maxValue="80"/>
    </cacheField>
    <cacheField name="Ha/Hr" numFmtId="2">
      <sharedItems containsSemiMixedTypes="0" containsString="0" containsNumber="1" minValue="1" maxValue="11.228571428571428"/>
    </cacheField>
    <cacheField name="Vu/Ha" numFmtId="2">
      <sharedItems containsSemiMixedTypes="0" containsString="0" containsNumber="1" minValue="1" maxValue="11.0703495899870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x v="0"/>
    <x v="0"/>
    <n v="12424"/>
    <n v="1646"/>
    <n v="26466"/>
    <n v="393589"/>
    <n v="30152"/>
    <n v="77"/>
    <n v="7.5479951397326852"/>
    <n v="2.1302318094011592"/>
  </r>
  <r>
    <x v="0"/>
    <x v="1"/>
    <n v="11414"/>
    <n v="1495"/>
    <n v="23679"/>
    <n v="352038"/>
    <n v="90671"/>
    <n v="80"/>
    <n v="7.6347826086956525"/>
    <n v="2.0745575608901348"/>
  </r>
  <r>
    <x v="0"/>
    <x v="2"/>
    <n v="12984"/>
    <n v="1650"/>
    <n v="25189"/>
    <n v="385770"/>
    <n v="8308"/>
    <n v="74"/>
    <n v="7.8690909090909091"/>
    <n v="1.9400030807147257"/>
  </r>
  <r>
    <x v="0"/>
    <x v="3"/>
    <n v="13617"/>
    <n v="1586"/>
    <n v="24150"/>
    <n v="370347"/>
    <n v="4363"/>
    <n v="80"/>
    <n v="8.5857503152585117"/>
    <n v="1.7735183961224938"/>
  </r>
  <r>
    <x v="0"/>
    <x v="4"/>
    <n v="11090"/>
    <n v="1246"/>
    <n v="18150"/>
    <n v="316073"/>
    <n v="6495"/>
    <n v="67"/>
    <n v="8.9004815409309792"/>
    <n v="1.6366095581605049"/>
  </r>
  <r>
    <x v="0"/>
    <x v="5"/>
    <n v="8605.35"/>
    <n v="951.6"/>
    <n v="13360"/>
    <n v="210023"/>
    <n v="1452"/>
    <n v="66"/>
    <n v="9.0430327868852469"/>
    <n v="1.5525225586408455"/>
  </r>
  <r>
    <x v="0"/>
    <x v="6"/>
    <n v="11080"/>
    <n v="1071.4000000000001"/>
    <n v="14450"/>
    <n v="252321"/>
    <n v="150"/>
    <n v="67"/>
    <n v="10.341609109576254"/>
    <n v="1.3041516245487366"/>
  </r>
  <r>
    <x v="0"/>
    <x v="7"/>
    <n v="12750"/>
    <n v="1217.5"/>
    <n v="17450"/>
    <n v="281449"/>
    <n v="0"/>
    <n v="63"/>
    <n v="10.472279260780287"/>
    <n v="1.3686274509803922"/>
  </r>
  <r>
    <x v="0"/>
    <x v="8"/>
    <n v="14060"/>
    <n v="1346.5"/>
    <n v="18120"/>
    <n v="310252"/>
    <n v="2007"/>
    <n v="62"/>
    <n v="10.441886372075752"/>
    <n v="1.2887624466571834"/>
  </r>
  <r>
    <x v="1"/>
    <x v="9"/>
    <n v="10770"/>
    <n v="1169.5999999999999"/>
    <n v="14940"/>
    <m/>
    <m/>
    <m/>
    <n v="9.2082763337893301"/>
    <n v="1.3871866295264623"/>
  </r>
  <r>
    <x v="1"/>
    <x v="10"/>
    <n v="7816.49"/>
    <n v="805.7"/>
    <n v="9999"/>
    <m/>
    <m/>
    <m/>
    <n v="9.7014893881097173"/>
    <n v="1.2792186774370593"/>
  </r>
  <r>
    <x v="1"/>
    <x v="11"/>
    <n v="11790"/>
    <n v="1050"/>
    <n v="12070"/>
    <m/>
    <m/>
    <m/>
    <n v="11.228571428571428"/>
    <n v="1.0237489397794741"/>
  </r>
  <r>
    <x v="1"/>
    <x v="0"/>
    <n v="9368.66"/>
    <n v="896.4"/>
    <n v="10940"/>
    <m/>
    <m/>
    <m/>
    <n v="10.451427933958055"/>
    <n v="1.1677230254913724"/>
  </r>
  <r>
    <x v="1"/>
    <x v="1"/>
    <n v="10880"/>
    <n v="1003.6"/>
    <n v="11900"/>
    <m/>
    <m/>
    <m/>
    <n v="10.840972499003588"/>
    <n v="1.09375"/>
  </r>
  <r>
    <x v="1"/>
    <x v="2"/>
    <n v="12350"/>
    <n v="1146.7"/>
    <n v="13500"/>
    <m/>
    <m/>
    <m/>
    <n v="10.77003575477457"/>
    <n v="1.0931174089068827"/>
  </r>
  <r>
    <x v="1"/>
    <x v="3"/>
    <n v="10830"/>
    <n v="1073.3"/>
    <n v="12490"/>
    <m/>
    <m/>
    <m/>
    <n v="10.090375477499302"/>
    <n v="1.1532779316712836"/>
  </r>
  <r>
    <x v="1"/>
    <x v="4"/>
    <n v="7413"/>
    <n v="782.6"/>
    <n v="9613"/>
    <m/>
    <m/>
    <m/>
    <n v="9.4722719141323797"/>
    <n v="1.2967759341697018"/>
  </r>
  <r>
    <x v="1"/>
    <x v="5"/>
    <n v="3684.64"/>
    <n v="420.8"/>
    <n v="5699"/>
    <m/>
    <m/>
    <m/>
    <n v="8.7562737642585553"/>
    <n v="1.5466911285770117"/>
  </r>
  <r>
    <x v="1"/>
    <x v="6"/>
    <n v="5079.9799999999996"/>
    <n v="530.79999999999995"/>
    <n v="6575"/>
    <m/>
    <m/>
    <m/>
    <n v="9.5704220045214772"/>
    <n v="1.2942964342379302"/>
  </r>
  <r>
    <x v="1"/>
    <x v="7"/>
    <n v="4946.3500000000004"/>
    <n v="599.20000000000005"/>
    <n v="7999"/>
    <m/>
    <m/>
    <m/>
    <n v="8.254923230974633"/>
    <n v="1.6171520414042677"/>
  </r>
  <r>
    <x v="1"/>
    <x v="8"/>
    <n v="7434.63"/>
    <n v="838.5"/>
    <n v="10130"/>
    <m/>
    <m/>
    <m/>
    <n v="8.8665831842576033"/>
    <n v="1.362542587862476"/>
  </r>
  <r>
    <x v="2"/>
    <x v="9"/>
    <n v="7313.9"/>
    <n v="745.7"/>
    <n v="8597"/>
    <m/>
    <m/>
    <m/>
    <n v="9.8080997720262832"/>
    <n v="1.1754330794788006"/>
  </r>
  <r>
    <x v="2"/>
    <x v="10"/>
    <n v="7273.95"/>
    <n v="818.3"/>
    <n v="9768"/>
    <m/>
    <m/>
    <m/>
    <n v="8.8890993523157764"/>
    <n v="1.3428742292702041"/>
  </r>
  <r>
    <x v="2"/>
    <x v="11"/>
    <n v="6320.61"/>
    <n v="751.6"/>
    <n v="9018"/>
    <m/>
    <m/>
    <m/>
    <n v="8.4095396487493339"/>
    <n v="1.4267610246479376"/>
  </r>
  <r>
    <x v="2"/>
    <x v="0"/>
    <n v="7159.39"/>
    <n v="835.9"/>
    <n v="9682"/>
    <m/>
    <m/>
    <m/>
    <n v="8.5648881445148941"/>
    <n v="1.3523498510347949"/>
  </r>
  <r>
    <x v="2"/>
    <x v="1"/>
    <n v="7532.41"/>
    <n v="991.9"/>
    <n v="12160"/>
    <m/>
    <m/>
    <m/>
    <n v="7.5939207581409418"/>
    <n v="1.6143571579348444"/>
  </r>
  <r>
    <x v="2"/>
    <x v="2"/>
    <n v="8346.4"/>
    <n v="1001.5"/>
    <n v="11390"/>
    <m/>
    <m/>
    <m/>
    <n v="8.3338991512730907"/>
    <n v="1.364660212786351"/>
  </r>
  <r>
    <x v="2"/>
    <x v="3"/>
    <n v="6853.03"/>
    <n v="822.3"/>
    <n v="9473"/>
    <m/>
    <m/>
    <m/>
    <n v="8.3339778669585307"/>
    <n v="1.3823082636439648"/>
  </r>
  <r>
    <x v="2"/>
    <x v="4"/>
    <n v="3055.26"/>
    <n v="475.2"/>
    <n v="6102"/>
    <m/>
    <m/>
    <m/>
    <n v="6.4294191919191928"/>
    <n v="1.9972113666267355"/>
  </r>
  <r>
    <x v="2"/>
    <x v="5"/>
    <n v="2642.77"/>
    <n v="505.5"/>
    <n v="5858"/>
    <m/>
    <m/>
    <m/>
    <n v="5.2280316518298715"/>
    <n v="2.216613628881817"/>
  </r>
  <r>
    <x v="2"/>
    <x v="6"/>
    <n v="3796.24"/>
    <n v="689.8"/>
    <n v="8103"/>
    <m/>
    <m/>
    <m/>
    <n v="5.5033922876196"/>
    <n v="2.1344804332708156"/>
  </r>
  <r>
    <x v="2"/>
    <x v="7"/>
    <n v="4189.71"/>
    <n v="740.5"/>
    <n v="9240"/>
    <m/>
    <m/>
    <m/>
    <n v="5.6579473328831869"/>
    <n v="2.2054032379329356"/>
  </r>
  <r>
    <x v="2"/>
    <x v="8"/>
    <n v="5284.34"/>
    <n v="953.8"/>
    <n v="11720"/>
    <m/>
    <m/>
    <m/>
    <n v="5.54030195009436"/>
    <n v="2.2178739445228732"/>
  </r>
  <r>
    <x v="3"/>
    <x v="9"/>
    <n v="5576.8"/>
    <n v="921.5"/>
    <n v="11210"/>
    <m/>
    <m/>
    <m/>
    <n v="6.0518719479110148"/>
    <n v="2.0101133266389328"/>
  </r>
  <r>
    <x v="3"/>
    <x v="10"/>
    <n v="4183.95"/>
    <n v="623.4"/>
    <n v="7582"/>
    <m/>
    <m/>
    <m/>
    <n v="6.7115014436958615"/>
    <n v="1.8121631472651443"/>
  </r>
  <r>
    <x v="3"/>
    <x v="11"/>
    <n v="4552.01"/>
    <n v="644.1"/>
    <n v="7070"/>
    <m/>
    <m/>
    <m/>
    <n v="7.0672411116286291"/>
    <n v="1.5531600326009829"/>
  </r>
  <r>
    <x v="3"/>
    <x v="0"/>
    <n v="4785.21"/>
    <n v="699.5"/>
    <n v="7792"/>
    <m/>
    <m/>
    <m/>
    <n v="6.8409006433166546"/>
    <n v="1.6283506888934864"/>
  </r>
  <r>
    <x v="3"/>
    <x v="1"/>
    <n v="6007.68"/>
    <n v="888.3"/>
    <n v="10280"/>
    <m/>
    <m/>
    <m/>
    <n v="6.7631205673758874"/>
    <n v="1.7111430702034729"/>
  </r>
  <r>
    <x v="3"/>
    <x v="2"/>
    <n v="4630.74"/>
    <n v="719.7"/>
    <n v="8090"/>
    <m/>
    <m/>
    <m/>
    <n v="6.4342642767819918"/>
    <n v="1.7470209944846828"/>
  </r>
  <r>
    <x v="3"/>
    <x v="3"/>
    <n v="3927.25"/>
    <n v="550.20000000000005"/>
    <n v="6465"/>
    <m/>
    <m/>
    <m/>
    <n v="7.1378589603780433"/>
    <n v="1.6461900821185307"/>
  </r>
  <r>
    <x v="3"/>
    <x v="4"/>
    <n v="4718.2"/>
    <n v="674.4"/>
    <n v="7938"/>
    <m/>
    <m/>
    <m/>
    <n v="6.9961447212336889"/>
    <n v="1.6824212623458099"/>
  </r>
  <r>
    <x v="3"/>
    <x v="5"/>
    <n v="3497.6"/>
    <n v="498"/>
    <n v="5745"/>
    <m/>
    <m/>
    <m/>
    <n v="7.0232931726907628"/>
    <n v="1.6425548947849955"/>
  </r>
  <r>
    <x v="3"/>
    <x v="6"/>
    <n v="2597.64"/>
    <n v="369.4"/>
    <n v="4471"/>
    <m/>
    <m/>
    <m/>
    <n v="7.032051976177585"/>
    <n v="1.7211776843596496"/>
  </r>
  <r>
    <x v="3"/>
    <x v="7"/>
    <n v="3927.19"/>
    <n v="525"/>
    <n v="6376"/>
    <m/>
    <m/>
    <m/>
    <n v="7.4803619047619048"/>
    <n v="1.6235527183558727"/>
  </r>
  <r>
    <x v="3"/>
    <x v="8"/>
    <n v="4261.03"/>
    <n v="640.20000000000005"/>
    <n v="8092"/>
    <m/>
    <m/>
    <m/>
    <n v="6.6557794439237732"/>
    <n v="1.8990713512929973"/>
  </r>
  <r>
    <x v="4"/>
    <x v="9"/>
    <n v="4203.43"/>
    <n v="642.70000000000005"/>
    <n v="7805"/>
    <m/>
    <m/>
    <m/>
    <n v="6.5402676209740163"/>
    <n v="1.8568169328381821"/>
  </r>
  <r>
    <x v="4"/>
    <x v="10"/>
    <n v="3927.36"/>
    <n v="555.9"/>
    <n v="6636"/>
    <m/>
    <m/>
    <m/>
    <n v="7.0648677819751757"/>
    <n v="1.6896846736739184"/>
  </r>
  <r>
    <x v="4"/>
    <x v="11"/>
    <n v="4342.5600000000004"/>
    <n v="696.6"/>
    <n v="8925"/>
    <m/>
    <m/>
    <m/>
    <n v="6.2339362618432386"/>
    <n v="2.055239305847242"/>
  </r>
  <r>
    <x v="4"/>
    <x v="0"/>
    <n v="3282.91"/>
    <n v="518.20000000000005"/>
    <n v="6275"/>
    <m/>
    <m/>
    <m/>
    <n v="6.3352180625241212"/>
    <n v="1.9114139589571448"/>
  </r>
  <r>
    <x v="4"/>
    <x v="1"/>
    <n v="3153.53"/>
    <n v="399.7"/>
    <n v="4907"/>
    <m/>
    <m/>
    <m/>
    <n v="7.8897423067300485"/>
    <n v="1.5560340317041537"/>
  </r>
  <r>
    <x v="4"/>
    <x v="2"/>
    <n v="2372.09"/>
    <n v="329.8"/>
    <n v="4251"/>
    <m/>
    <m/>
    <m/>
    <n v="7.1925106124924199"/>
    <n v="1.7920905193310539"/>
  </r>
  <r>
    <x v="4"/>
    <x v="3"/>
    <n v="2945.88"/>
    <n v="445.6"/>
    <n v="5426"/>
    <m/>
    <m/>
    <m/>
    <n v="6.611041292639138"/>
    <n v="1.8418944424077015"/>
  </r>
  <r>
    <x v="4"/>
    <x v="4"/>
    <n v="1142.2"/>
    <n v="188.8"/>
    <n v="2290"/>
    <m/>
    <m/>
    <m/>
    <n v="6.0497881355932206"/>
    <n v="2.0049028191209946"/>
  </r>
  <r>
    <x v="4"/>
    <x v="5"/>
    <n v="1089.53"/>
    <n v="171.2"/>
    <n v="2078"/>
    <m/>
    <m/>
    <m/>
    <n v="6.3640771028037388"/>
    <n v="1.9072444081392894"/>
  </r>
  <r>
    <x v="4"/>
    <x v="6"/>
    <n v="1701.4"/>
    <n v="236.2"/>
    <n v="3041"/>
    <m/>
    <m/>
    <m/>
    <n v="7.2032176121930576"/>
    <n v="1.7873515928059245"/>
  </r>
  <r>
    <x v="4"/>
    <x v="7"/>
    <n v="1234.97"/>
    <n v="180.9"/>
    <n v="2260"/>
    <m/>
    <m/>
    <m/>
    <n v="6.8268103924820345"/>
    <n v="1.8300039677077176"/>
  </r>
  <r>
    <x v="4"/>
    <x v="8"/>
    <n v="1524.01"/>
    <n v="227.8"/>
    <n v="2763"/>
    <m/>
    <m/>
    <m/>
    <n v="6.690122914837576"/>
    <n v="1.8129802297885185"/>
  </r>
  <r>
    <x v="5"/>
    <x v="9"/>
    <n v="1806.11"/>
    <n v="276.3"/>
    <n v="2926"/>
    <m/>
    <m/>
    <m/>
    <n v="6.5367716250452403"/>
    <n v="1.6200563642303072"/>
  </r>
  <r>
    <x v="5"/>
    <x v="10"/>
    <n v="1066.67"/>
    <n v="169"/>
    <n v="1662"/>
    <m/>
    <m/>
    <m/>
    <n v="6.3116568047337278"/>
    <n v="1.5581201308745909"/>
  </r>
  <r>
    <x v="5"/>
    <x v="11"/>
    <n v="1079.82"/>
    <n v="188.8"/>
    <n v="2125"/>
    <m/>
    <m/>
    <m/>
    <n v="5.7193855932203386"/>
    <n v="1.9679205793558188"/>
  </r>
  <r>
    <x v="5"/>
    <x v="0"/>
    <n v="1265.95"/>
    <n v="258.7"/>
    <n v="3049"/>
    <m/>
    <m/>
    <m/>
    <n v="4.8935059914959416"/>
    <n v="2.4084679489711283"/>
  </r>
  <r>
    <x v="5"/>
    <x v="1"/>
    <n v="1204.3399999999999"/>
    <n v="257.2"/>
    <n v="3283"/>
    <m/>
    <m/>
    <m/>
    <n v="4.6825038880248835"/>
    <n v="2.7259743926133817"/>
  </r>
  <r>
    <x v="5"/>
    <x v="2"/>
    <n v="1866.33"/>
    <n v="337.8"/>
    <n v="4043"/>
    <m/>
    <m/>
    <m/>
    <n v="5.5249555950266425"/>
    <n v="2.1662835618566922"/>
  </r>
  <r>
    <x v="5"/>
    <x v="3"/>
    <n v="856.29"/>
    <n v="169.2"/>
    <n v="1988"/>
    <m/>
    <m/>
    <m/>
    <n v="5.0608156028368798"/>
    <n v="2.3216433684849758"/>
  </r>
  <r>
    <x v="5"/>
    <x v="4"/>
    <n v="208.87"/>
    <n v="77.400000000000006"/>
    <n v="989"/>
    <m/>
    <m/>
    <m/>
    <n v="2.6985788113695088"/>
    <n v="4.7350026332168333"/>
  </r>
  <r>
    <x v="5"/>
    <x v="5"/>
    <n v="217.95"/>
    <n v="49"/>
    <n v="626"/>
    <m/>
    <m/>
    <m/>
    <n v="4.4479591836734693"/>
    <n v="2.8722183987153018"/>
  </r>
  <r>
    <x v="5"/>
    <x v="6"/>
    <n v="207.97"/>
    <n v="47.4"/>
    <n v="727"/>
    <m/>
    <m/>
    <m/>
    <n v="4.3875527426160339"/>
    <n v="3.4956964946867335"/>
  </r>
  <r>
    <x v="5"/>
    <x v="7"/>
    <n v="92.68"/>
    <n v="43.7"/>
    <n v="1026"/>
    <m/>
    <m/>
    <m/>
    <n v="2.1208237986270024"/>
    <n v="11.070349589987051"/>
  </r>
  <r>
    <x v="5"/>
    <x v="8"/>
    <n v="404.01"/>
    <n v="120.9"/>
    <n v="1852"/>
    <m/>
    <m/>
    <m/>
    <n v="3.3416873449131512"/>
    <n v="4.5840449493824416"/>
  </r>
  <r>
    <x v="6"/>
    <x v="9"/>
    <n v="368.26"/>
    <n v="113.6"/>
    <n v="1610"/>
    <m/>
    <m/>
    <m/>
    <n v="3.2417253521126761"/>
    <n v="4.3719111497311687"/>
  </r>
  <r>
    <x v="6"/>
    <x v="10"/>
    <n v="355.69"/>
    <n v="90.2"/>
    <n v="1086"/>
    <m/>
    <m/>
    <m/>
    <n v="3.9433481152993348"/>
    <n v="3.05322050099806"/>
  </r>
  <r>
    <x v="6"/>
    <x v="11"/>
    <n v="783.1"/>
    <n v="173.7"/>
    <n v="2325"/>
    <m/>
    <m/>
    <m/>
    <n v="4.508347725964307"/>
    <n v="2.9689694802707187"/>
  </r>
  <r>
    <x v="6"/>
    <x v="0"/>
    <n v="553.51"/>
    <n v="132.19999999999999"/>
    <n v="1626"/>
    <m/>
    <m/>
    <m/>
    <n v="4.1869137670196679"/>
    <n v="2.9376163032284874"/>
  </r>
  <r>
    <x v="6"/>
    <x v="1"/>
    <n v="541.26"/>
    <n v="138.80000000000001"/>
    <n v="1594"/>
    <m/>
    <m/>
    <m/>
    <n v="3.8995677233429391"/>
    <n v="2.9449802313121238"/>
  </r>
  <r>
    <x v="6"/>
    <x v="2"/>
    <n v="597.30999999999995"/>
    <n v="163.30000000000001"/>
    <n v="2003"/>
    <m/>
    <m/>
    <m/>
    <n v="3.6577464788732388"/>
    <n v="3.3533675980646569"/>
  </r>
  <r>
    <x v="6"/>
    <x v="3"/>
    <n v="342.59"/>
    <n v="87.8"/>
    <n v="1068"/>
    <m/>
    <m/>
    <m/>
    <n v="3.9019362186788151"/>
    <n v="3.1174289967599758"/>
  </r>
  <r>
    <x v="6"/>
    <x v="4"/>
    <n v="237.91"/>
    <n v="71.599999999999994"/>
    <n v="928"/>
    <m/>
    <m/>
    <m/>
    <n v="3.3227653631284917"/>
    <n v="3.90063469379177"/>
  </r>
  <r>
    <x v="6"/>
    <x v="5"/>
    <n v="55.97"/>
    <n v="19.5"/>
    <n v="255"/>
    <m/>
    <m/>
    <m/>
    <n v="2.8702564102564101"/>
    <n v="4.5560121493657322"/>
  </r>
  <r>
    <x v="6"/>
    <x v="6"/>
    <n v="4.87"/>
    <n v="2.2999999999999998"/>
    <n v="22"/>
    <m/>
    <m/>
    <m/>
    <n v="2.1173913043478261"/>
    <n v="4.517453798767967"/>
  </r>
  <r>
    <x v="6"/>
    <x v="7"/>
    <n v="1"/>
    <n v="1"/>
    <n v="1"/>
    <m/>
    <m/>
    <m/>
    <n v="1"/>
    <n v="1"/>
  </r>
  <r>
    <x v="6"/>
    <x v="8"/>
    <n v="1"/>
    <n v="1"/>
    <n v="1"/>
    <m/>
    <m/>
    <m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00CAC-5ECA-41AA-B761-6C8B84A1861E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A3:I17" firstHeaderRow="1" firstDataRow="2" firstDataCol="1"/>
  <pivotFields count="10">
    <pivotField axis="axisCol" showAll="0">
      <items count="8"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3">
        <item x="8"/>
        <item x="7"/>
        <item x="6"/>
        <item x="5"/>
        <item x="4"/>
        <item x="3"/>
        <item x="2"/>
        <item x="1"/>
        <item x="0"/>
        <item x="11"/>
        <item x="10"/>
        <item x="9"/>
        <item t="default"/>
      </items>
    </pivotField>
    <pivotField dataField="1" showAll="0"/>
    <pivotField showAll="0"/>
    <pivotField showAll="0"/>
    <pivotField showAll="0"/>
    <pivotField showAll="0"/>
    <pivotField showAll="0"/>
    <pivotField numFmtId="2" showAll="0"/>
    <pivotField numFmtId="2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de Ha" fld="2" baseField="0" baseItem="0" numFmtId="164"/>
  </dataFields>
  <formats count="7">
    <format dxfId="6">
      <pivotArea field="1" grandCol="1" collapsedLevelsAreSubtotals="1" axis="axisRow" fieldPosition="0">
        <references count="1">
          <reference field="1" count="0"/>
        </references>
      </pivotArea>
    </format>
    <format dxfId="5">
      <pivotArea grandRow="1" grandCol="1" outline="0" collapsedLevelsAreSubtotals="1" fieldPosition="0"/>
    </format>
    <format dxfId="4">
      <pivotArea outline="0" collapsedLevelsAreSubtotals="1" fieldPosition="0"/>
    </format>
    <format dxfId="3">
      <pivotArea field="0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Col="1" outline="0" fieldPosition="0"/>
    </format>
  </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7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8759D-6ACA-4AD9-BEA4-83C15D012872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3:I17" firstHeaderRow="1" firstDataRow="2" firstDataCol="1"/>
  <pivotFields count="10">
    <pivotField axis="axisCol" showAll="0">
      <items count="8"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3">
        <item x="8"/>
        <item x="7"/>
        <item x="6"/>
        <item x="5"/>
        <item x="4"/>
        <item x="3"/>
        <item x="2"/>
        <item x="1"/>
        <item x="0"/>
        <item x="11"/>
        <item x="10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numFmtId="2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Promedio de Ha/Hr" fld="8" subtotal="average" baseField="1" baseItem="0" numFmtId="2"/>
  </dataFields>
  <chartFormats count="14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7E492-36F1-45DF-A443-859C6225CDF7}">
  <dimension ref="A3:I27"/>
  <sheetViews>
    <sheetView topLeftCell="J1" zoomScale="84" zoomScaleNormal="160" workbookViewId="0">
      <selection activeCell="H12" sqref="H12"/>
    </sheetView>
  </sheetViews>
  <sheetFormatPr defaultColWidth="10.90625" defaultRowHeight="14.5" x14ac:dyDescent="0.35"/>
  <cols>
    <col min="1" max="1" width="16.81640625" bestFit="1" customWidth="1"/>
    <col min="2" max="2" width="22.6328125" style="6" bestFit="1" customWidth="1"/>
    <col min="3" max="6" width="7.7265625" style="6" bestFit="1" customWidth="1"/>
    <col min="7" max="8" width="8.7265625" style="6" bestFit="1" customWidth="1"/>
    <col min="9" max="9" width="12.7265625" style="6" bestFit="1" customWidth="1"/>
    <col min="10" max="10" width="10.54296875" bestFit="1" customWidth="1"/>
    <col min="11" max="11" width="7.81640625" bestFit="1" customWidth="1"/>
    <col min="12" max="12" width="9.90625" bestFit="1" customWidth="1"/>
    <col min="13" max="13" width="9.54296875" bestFit="1" customWidth="1"/>
    <col min="14" max="14" width="11.453125" bestFit="1" customWidth="1"/>
  </cols>
  <sheetData>
    <row r="3" spans="1:9" x14ac:dyDescent="0.35">
      <c r="A3" s="4" t="s">
        <v>19</v>
      </c>
      <c r="B3" s="16" t="s">
        <v>20</v>
      </c>
      <c r="C3" s="15"/>
      <c r="D3" s="15"/>
      <c r="E3" s="15"/>
      <c r="F3" s="15"/>
      <c r="G3" s="15"/>
      <c r="H3" s="15"/>
      <c r="I3" s="15"/>
    </row>
    <row r="4" spans="1:9" x14ac:dyDescent="0.35">
      <c r="A4" s="4" t="s">
        <v>17</v>
      </c>
      <c r="B4" s="15">
        <v>2019</v>
      </c>
      <c r="C4" s="15">
        <v>2020</v>
      </c>
      <c r="D4" s="15">
        <v>2021</v>
      </c>
      <c r="E4" s="15">
        <v>2022</v>
      </c>
      <c r="F4" s="15">
        <v>2023</v>
      </c>
      <c r="G4" s="15">
        <v>2024</v>
      </c>
      <c r="H4" s="15">
        <v>2025</v>
      </c>
      <c r="I4" s="15" t="s">
        <v>18</v>
      </c>
    </row>
    <row r="5" spans="1:9" x14ac:dyDescent="0.35">
      <c r="A5" s="5" t="s">
        <v>9</v>
      </c>
      <c r="B5" s="15">
        <v>1</v>
      </c>
      <c r="C5" s="15">
        <v>404.01</v>
      </c>
      <c r="D5" s="15">
        <v>1524.01</v>
      </c>
      <c r="E5" s="15">
        <v>4261.03</v>
      </c>
      <c r="F5" s="15">
        <v>5284.34</v>
      </c>
      <c r="G5" s="15">
        <v>7434.63</v>
      </c>
      <c r="H5" s="15">
        <v>14060</v>
      </c>
      <c r="I5" s="15">
        <v>32969.020000000004</v>
      </c>
    </row>
    <row r="6" spans="1:9" x14ac:dyDescent="0.35">
      <c r="A6" s="5" t="s">
        <v>8</v>
      </c>
      <c r="B6" s="15">
        <v>1</v>
      </c>
      <c r="C6" s="15">
        <v>92.68</v>
      </c>
      <c r="D6" s="15">
        <v>1234.97</v>
      </c>
      <c r="E6" s="15">
        <v>3927.19</v>
      </c>
      <c r="F6" s="15">
        <v>4189.71</v>
      </c>
      <c r="G6" s="15">
        <v>4946.3500000000004</v>
      </c>
      <c r="H6" s="15">
        <v>12750</v>
      </c>
      <c r="I6" s="15">
        <v>27141.9</v>
      </c>
    </row>
    <row r="7" spans="1:9" x14ac:dyDescent="0.35">
      <c r="A7" s="5" t="s">
        <v>7</v>
      </c>
      <c r="B7" s="15">
        <v>4.87</v>
      </c>
      <c r="C7" s="15">
        <v>207.97</v>
      </c>
      <c r="D7" s="15">
        <v>1701.4</v>
      </c>
      <c r="E7" s="15">
        <v>2597.64</v>
      </c>
      <c r="F7" s="15">
        <v>3796.24</v>
      </c>
      <c r="G7" s="15">
        <v>5079.9799999999996</v>
      </c>
      <c r="H7" s="15">
        <v>11080</v>
      </c>
      <c r="I7" s="15">
        <v>24468.1</v>
      </c>
    </row>
    <row r="8" spans="1:9" x14ac:dyDescent="0.35">
      <c r="A8" s="5" t="s">
        <v>6</v>
      </c>
      <c r="B8" s="15">
        <v>55.97</v>
      </c>
      <c r="C8" s="15">
        <v>217.95</v>
      </c>
      <c r="D8" s="15">
        <v>1089.53</v>
      </c>
      <c r="E8" s="15">
        <v>3497.6</v>
      </c>
      <c r="F8" s="15">
        <v>2642.77</v>
      </c>
      <c r="G8" s="15">
        <v>3684.64</v>
      </c>
      <c r="H8" s="15">
        <v>8605.35</v>
      </c>
      <c r="I8" s="15">
        <v>19793.809999999998</v>
      </c>
    </row>
    <row r="9" spans="1:9" x14ac:dyDescent="0.35">
      <c r="A9" s="5" t="s">
        <v>5</v>
      </c>
      <c r="B9" s="15">
        <v>237.91</v>
      </c>
      <c r="C9" s="15">
        <v>208.87</v>
      </c>
      <c r="D9" s="15">
        <v>1142.2</v>
      </c>
      <c r="E9" s="15">
        <v>4718.2</v>
      </c>
      <c r="F9" s="15">
        <v>3055.26</v>
      </c>
      <c r="G9" s="15">
        <v>7413</v>
      </c>
      <c r="H9" s="15">
        <v>11090</v>
      </c>
      <c r="I9" s="15">
        <v>27865.440000000002</v>
      </c>
    </row>
    <row r="10" spans="1:9" x14ac:dyDescent="0.35">
      <c r="A10" s="5" t="s">
        <v>16</v>
      </c>
      <c r="B10" s="15">
        <v>342.59</v>
      </c>
      <c r="C10" s="15">
        <v>856.29</v>
      </c>
      <c r="D10" s="15">
        <v>2945.88</v>
      </c>
      <c r="E10" s="15">
        <v>3927.25</v>
      </c>
      <c r="F10" s="15">
        <v>6853.03</v>
      </c>
      <c r="G10" s="15">
        <v>10830</v>
      </c>
      <c r="H10" s="15">
        <v>13617</v>
      </c>
      <c r="I10" s="15">
        <v>39372.04</v>
      </c>
    </row>
    <row r="11" spans="1:9" x14ac:dyDescent="0.35">
      <c r="A11" s="5" t="s">
        <v>15</v>
      </c>
      <c r="B11" s="15">
        <v>597.30999999999995</v>
      </c>
      <c r="C11" s="15">
        <v>1866.33</v>
      </c>
      <c r="D11" s="15">
        <v>2372.09</v>
      </c>
      <c r="E11" s="15">
        <v>4630.74</v>
      </c>
      <c r="F11" s="15">
        <v>8346.4</v>
      </c>
      <c r="G11" s="15">
        <v>12350</v>
      </c>
      <c r="H11" s="15">
        <v>12984</v>
      </c>
      <c r="I11" s="15">
        <v>43146.869999999995</v>
      </c>
    </row>
    <row r="12" spans="1:9" x14ac:dyDescent="0.35">
      <c r="A12" s="5" t="s">
        <v>14</v>
      </c>
      <c r="B12" s="15">
        <v>541.26</v>
      </c>
      <c r="C12" s="15">
        <v>1204.3399999999999</v>
      </c>
      <c r="D12" s="15">
        <v>3153.53</v>
      </c>
      <c r="E12" s="15">
        <v>6007.68</v>
      </c>
      <c r="F12" s="15">
        <v>7532.41</v>
      </c>
      <c r="G12" s="15">
        <v>10880</v>
      </c>
      <c r="H12" s="15">
        <v>11414</v>
      </c>
      <c r="I12" s="15">
        <v>40733.22</v>
      </c>
    </row>
    <row r="13" spans="1:9" x14ac:dyDescent="0.35">
      <c r="A13" s="5" t="s">
        <v>13</v>
      </c>
      <c r="B13" s="15">
        <v>553.51</v>
      </c>
      <c r="C13" s="15">
        <v>1265.95</v>
      </c>
      <c r="D13" s="15">
        <v>3282.91</v>
      </c>
      <c r="E13" s="15">
        <v>4785.21</v>
      </c>
      <c r="F13" s="15">
        <v>7159.39</v>
      </c>
      <c r="G13" s="15">
        <v>9368.66</v>
      </c>
      <c r="H13" s="15">
        <v>12424</v>
      </c>
      <c r="I13" s="15">
        <v>38839.630000000005</v>
      </c>
    </row>
    <row r="14" spans="1:9" x14ac:dyDescent="0.35">
      <c r="A14" s="5" t="s">
        <v>12</v>
      </c>
      <c r="B14" s="15">
        <v>783.1</v>
      </c>
      <c r="C14" s="15">
        <v>1079.82</v>
      </c>
      <c r="D14" s="15">
        <v>4342.5600000000004</v>
      </c>
      <c r="E14" s="15">
        <v>4552.01</v>
      </c>
      <c r="F14" s="15">
        <v>6320.61</v>
      </c>
      <c r="G14" s="15">
        <v>11790</v>
      </c>
      <c r="H14" s="15"/>
      <c r="I14" s="15">
        <v>28868.100000000002</v>
      </c>
    </row>
    <row r="15" spans="1:9" x14ac:dyDescent="0.35">
      <c r="A15" s="5" t="s">
        <v>11</v>
      </c>
      <c r="B15" s="15">
        <v>355.69</v>
      </c>
      <c r="C15" s="15">
        <v>1066.67</v>
      </c>
      <c r="D15" s="15">
        <v>3927.36</v>
      </c>
      <c r="E15" s="15">
        <v>4183.95</v>
      </c>
      <c r="F15" s="15">
        <v>7273.95</v>
      </c>
      <c r="G15" s="15">
        <v>7816.49</v>
      </c>
      <c r="H15" s="15"/>
      <c r="I15" s="15">
        <v>24624.11</v>
      </c>
    </row>
    <row r="16" spans="1:9" x14ac:dyDescent="0.35">
      <c r="A16" s="5" t="s">
        <v>10</v>
      </c>
      <c r="B16" s="15">
        <v>368.26</v>
      </c>
      <c r="C16" s="15">
        <v>1806.11</v>
      </c>
      <c r="D16" s="15">
        <v>4203.43</v>
      </c>
      <c r="E16" s="15">
        <v>5576.8</v>
      </c>
      <c r="F16" s="15">
        <v>7313.9</v>
      </c>
      <c r="G16" s="15">
        <v>10770</v>
      </c>
      <c r="H16" s="15"/>
      <c r="I16" s="15">
        <v>30038.5</v>
      </c>
    </row>
    <row r="17" spans="1:9" x14ac:dyDescent="0.35">
      <c r="A17" s="5" t="s">
        <v>18</v>
      </c>
      <c r="B17" s="15">
        <v>3842.4700000000003</v>
      </c>
      <c r="C17" s="15">
        <v>10276.99</v>
      </c>
      <c r="D17" s="15">
        <v>30919.870000000003</v>
      </c>
      <c r="E17" s="15">
        <v>52665.3</v>
      </c>
      <c r="F17" s="15">
        <v>69768.009999999995</v>
      </c>
      <c r="G17" s="15">
        <v>102363.75</v>
      </c>
      <c r="H17" s="15">
        <v>108024.35</v>
      </c>
      <c r="I17" s="15">
        <v>377860.74</v>
      </c>
    </row>
    <row r="19" spans="1:9" ht="64.5" customHeight="1" x14ac:dyDescent="0.35">
      <c r="B19" s="7"/>
      <c r="C19" s="7"/>
      <c r="D19" s="7"/>
      <c r="E19" s="8" t="s">
        <v>25</v>
      </c>
      <c r="F19" s="7"/>
      <c r="G19" s="7" t="s">
        <v>27</v>
      </c>
      <c r="H19" s="9" t="s">
        <v>28</v>
      </c>
    </row>
    <row r="20" spans="1:9" x14ac:dyDescent="0.35">
      <c r="B20" s="7" t="s">
        <v>22</v>
      </c>
      <c r="C20" s="7">
        <v>400</v>
      </c>
      <c r="D20" s="7" t="s">
        <v>24</v>
      </c>
      <c r="E20" s="7">
        <f>+C20*GETPIVOTDATA("Ha",$A$3)</f>
        <v>151144296</v>
      </c>
      <c r="F20" s="7" t="s">
        <v>26</v>
      </c>
      <c r="G20" s="7"/>
      <c r="H20" s="7"/>
    </row>
    <row r="21" spans="1:9" x14ac:dyDescent="0.35">
      <c r="B21" s="7" t="s">
        <v>23</v>
      </c>
      <c r="C21" s="7">
        <v>20</v>
      </c>
      <c r="D21" s="7" t="s">
        <v>24</v>
      </c>
      <c r="E21" s="7">
        <f>+C21*GETPIVOTDATA("Ha",$A$3)</f>
        <v>7557214.7999999998</v>
      </c>
      <c r="F21" s="7" t="s">
        <v>26</v>
      </c>
      <c r="G21" s="7">
        <f>+E21-E20</f>
        <v>-143587081.19999999</v>
      </c>
      <c r="H21" s="10">
        <f>+G21/E20</f>
        <v>-0.95</v>
      </c>
    </row>
    <row r="23" spans="1:9" x14ac:dyDescent="0.35">
      <c r="C23" s="11"/>
      <c r="G23" s="6" t="s">
        <v>29</v>
      </c>
    </row>
    <row r="24" spans="1:9" x14ac:dyDescent="0.35">
      <c r="G24" s="6" t="s">
        <v>30</v>
      </c>
    </row>
    <row r="26" spans="1:9" x14ac:dyDescent="0.35">
      <c r="G26" s="6" t="s">
        <v>32</v>
      </c>
    </row>
    <row r="27" spans="1:9" x14ac:dyDescent="0.35">
      <c r="G27" s="6" t="s">
        <v>31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5B29-2F3C-435B-8A69-7385238C341E}">
  <dimension ref="A3:I17"/>
  <sheetViews>
    <sheetView workbookViewId="0">
      <selection activeCell="H14" sqref="H14"/>
    </sheetView>
  </sheetViews>
  <sheetFormatPr defaultColWidth="10.90625" defaultRowHeight="14.5" x14ac:dyDescent="0.35"/>
  <cols>
    <col min="1" max="1" width="16.6328125" bestFit="1" customWidth="1"/>
    <col min="2" max="2" width="21.26953125" bestFit="1" customWidth="1"/>
    <col min="3" max="6" width="4.81640625" bestFit="1" customWidth="1"/>
    <col min="7" max="8" width="5.36328125" bestFit="1" customWidth="1"/>
    <col min="9" max="9" width="11.453125" bestFit="1" customWidth="1"/>
  </cols>
  <sheetData>
    <row r="3" spans="1:9" x14ac:dyDescent="0.35">
      <c r="A3" s="4" t="s">
        <v>21</v>
      </c>
      <c r="B3" s="4" t="s">
        <v>20</v>
      </c>
    </row>
    <row r="4" spans="1:9" x14ac:dyDescent="0.35">
      <c r="A4" s="4" t="s">
        <v>17</v>
      </c>
      <c r="B4">
        <v>2019</v>
      </c>
      <c r="C4">
        <v>2020</v>
      </c>
      <c r="D4">
        <v>2021</v>
      </c>
      <c r="E4">
        <v>2022</v>
      </c>
      <c r="F4">
        <v>2023</v>
      </c>
      <c r="G4">
        <v>2024</v>
      </c>
      <c r="H4">
        <v>2025</v>
      </c>
      <c r="I4" t="s">
        <v>18</v>
      </c>
    </row>
    <row r="5" spans="1:9" x14ac:dyDescent="0.35">
      <c r="A5" s="5" t="s">
        <v>9</v>
      </c>
      <c r="B5" s="1">
        <v>1</v>
      </c>
      <c r="C5" s="1">
        <v>3.3416873449131512</v>
      </c>
      <c r="D5" s="1">
        <v>6.690122914837576</v>
      </c>
      <c r="E5" s="1">
        <v>6.6557794439237732</v>
      </c>
      <c r="F5" s="1">
        <v>5.54030195009436</v>
      </c>
      <c r="G5" s="1">
        <v>8.8665831842576033</v>
      </c>
      <c r="H5" s="1">
        <v>10.441886372075752</v>
      </c>
      <c r="I5" s="1">
        <v>6.076623030014602</v>
      </c>
    </row>
    <row r="6" spans="1:9" x14ac:dyDescent="0.35">
      <c r="A6" s="5" t="s">
        <v>8</v>
      </c>
      <c r="B6" s="1">
        <v>1</v>
      </c>
      <c r="C6" s="1">
        <v>2.1208237986270024</v>
      </c>
      <c r="D6" s="1">
        <v>6.8268103924820345</v>
      </c>
      <c r="E6" s="1">
        <v>7.4803619047619048</v>
      </c>
      <c r="F6" s="1">
        <v>5.6579473328831869</v>
      </c>
      <c r="G6" s="1">
        <v>8.254923230974633</v>
      </c>
      <c r="H6" s="1">
        <v>10.472279260780287</v>
      </c>
      <c r="I6" s="1">
        <v>5.9733065600727207</v>
      </c>
    </row>
    <row r="7" spans="1:9" x14ac:dyDescent="0.35">
      <c r="A7" s="5" t="s">
        <v>7</v>
      </c>
      <c r="B7" s="1">
        <v>2.1173913043478261</v>
      </c>
      <c r="C7" s="1">
        <v>4.3875527426160339</v>
      </c>
      <c r="D7" s="1">
        <v>7.2032176121930576</v>
      </c>
      <c r="E7" s="1">
        <v>7.032051976177585</v>
      </c>
      <c r="F7" s="1">
        <v>5.5033922876196</v>
      </c>
      <c r="G7" s="1">
        <v>9.5704220045214772</v>
      </c>
      <c r="H7" s="1">
        <v>10.341609109576254</v>
      </c>
      <c r="I7" s="1">
        <v>6.5936624338645471</v>
      </c>
    </row>
    <row r="8" spans="1:9" x14ac:dyDescent="0.35">
      <c r="A8" s="5" t="s">
        <v>6</v>
      </c>
      <c r="B8" s="1">
        <v>2.8702564102564101</v>
      </c>
      <c r="C8" s="1">
        <v>4.4479591836734693</v>
      </c>
      <c r="D8" s="1">
        <v>6.3640771028037388</v>
      </c>
      <c r="E8" s="1">
        <v>7.0232931726907628</v>
      </c>
      <c r="F8" s="1">
        <v>5.2280316518298715</v>
      </c>
      <c r="G8" s="1">
        <v>8.7562737642585553</v>
      </c>
      <c r="H8" s="1">
        <v>9.0430327868852469</v>
      </c>
      <c r="I8" s="1">
        <v>6.2475605817711521</v>
      </c>
    </row>
    <row r="9" spans="1:9" x14ac:dyDescent="0.35">
      <c r="A9" s="5" t="s">
        <v>5</v>
      </c>
      <c r="B9" s="1">
        <v>3.3227653631284917</v>
      </c>
      <c r="C9" s="1">
        <v>2.6985788113695088</v>
      </c>
      <c r="D9" s="1">
        <v>6.0497881355932206</v>
      </c>
      <c r="E9" s="1">
        <v>6.9961447212336889</v>
      </c>
      <c r="F9" s="1">
        <v>6.4294191919191928</v>
      </c>
      <c r="G9" s="1">
        <v>9.4722719141323797</v>
      </c>
      <c r="H9" s="1">
        <v>8.9004815409309792</v>
      </c>
      <c r="I9" s="1">
        <v>6.2670642397582084</v>
      </c>
    </row>
    <row r="10" spans="1:9" x14ac:dyDescent="0.35">
      <c r="A10" s="5" t="s">
        <v>16</v>
      </c>
      <c r="B10" s="1">
        <v>3.9019362186788151</v>
      </c>
      <c r="C10" s="1">
        <v>5.0608156028368798</v>
      </c>
      <c r="D10" s="1">
        <v>6.611041292639138</v>
      </c>
      <c r="E10" s="1">
        <v>7.1378589603780433</v>
      </c>
      <c r="F10" s="1">
        <v>8.3339778669585307</v>
      </c>
      <c r="G10" s="1">
        <v>10.090375477499302</v>
      </c>
      <c r="H10" s="1">
        <v>8.5857503152585117</v>
      </c>
      <c r="I10" s="1">
        <v>7.1031079620356037</v>
      </c>
    </row>
    <row r="11" spans="1:9" x14ac:dyDescent="0.35">
      <c r="A11" s="5" t="s">
        <v>15</v>
      </c>
      <c r="B11" s="1">
        <v>3.6577464788732388</v>
      </c>
      <c r="C11" s="1">
        <v>5.5249555950266425</v>
      </c>
      <c r="D11" s="1">
        <v>7.1925106124924199</v>
      </c>
      <c r="E11" s="1">
        <v>6.4342642767819918</v>
      </c>
      <c r="F11" s="1">
        <v>8.3338991512730907</v>
      </c>
      <c r="G11" s="1">
        <v>10.77003575477457</v>
      </c>
      <c r="H11" s="1">
        <v>7.8690909090909091</v>
      </c>
      <c r="I11" s="1">
        <v>7.1117861111875511</v>
      </c>
    </row>
    <row r="12" spans="1:9" x14ac:dyDescent="0.35">
      <c r="A12" s="5" t="s">
        <v>14</v>
      </c>
      <c r="B12" s="1">
        <v>3.8995677233429391</v>
      </c>
      <c r="C12" s="1">
        <v>4.6825038880248835</v>
      </c>
      <c r="D12" s="1">
        <v>7.8897423067300485</v>
      </c>
      <c r="E12" s="1">
        <v>6.7631205673758874</v>
      </c>
      <c r="F12" s="1">
        <v>7.5939207581409418</v>
      </c>
      <c r="G12" s="1">
        <v>10.840972499003588</v>
      </c>
      <c r="H12" s="1">
        <v>7.6347826086956525</v>
      </c>
      <c r="I12" s="1">
        <v>7.0435157644734199</v>
      </c>
    </row>
    <row r="13" spans="1:9" x14ac:dyDescent="0.35">
      <c r="A13" s="5" t="s">
        <v>13</v>
      </c>
      <c r="B13" s="1">
        <v>4.1869137670196679</v>
      </c>
      <c r="C13" s="1">
        <v>4.8935059914959416</v>
      </c>
      <c r="D13" s="1">
        <v>6.3352180625241212</v>
      </c>
      <c r="E13" s="1">
        <v>6.8409006433166546</v>
      </c>
      <c r="F13" s="1">
        <v>8.5648881445148941</v>
      </c>
      <c r="G13" s="1">
        <v>10.451427933958055</v>
      </c>
      <c r="H13" s="1">
        <v>7.5479951397326852</v>
      </c>
      <c r="I13" s="1">
        <v>6.9744070975088599</v>
      </c>
    </row>
    <row r="14" spans="1:9" x14ac:dyDescent="0.35">
      <c r="A14" s="5" t="s">
        <v>12</v>
      </c>
      <c r="B14" s="1">
        <v>4.508347725964307</v>
      </c>
      <c r="C14" s="1">
        <v>5.7193855932203386</v>
      </c>
      <c r="D14" s="1">
        <v>6.2339362618432386</v>
      </c>
      <c r="E14" s="1">
        <v>7.0672411116286291</v>
      </c>
      <c r="F14" s="1">
        <v>8.4095396487493339</v>
      </c>
      <c r="G14" s="1">
        <v>11.228571428571428</v>
      </c>
      <c r="H14" s="1"/>
      <c r="I14" s="1">
        <v>7.1945036283295458</v>
      </c>
    </row>
    <row r="15" spans="1:9" x14ac:dyDescent="0.35">
      <c r="A15" s="5" t="s">
        <v>11</v>
      </c>
      <c r="B15" s="1">
        <v>3.9433481152993348</v>
      </c>
      <c r="C15" s="1">
        <v>6.3116568047337278</v>
      </c>
      <c r="D15" s="1">
        <v>7.0648677819751757</v>
      </c>
      <c r="E15" s="1">
        <v>6.7115014436958615</v>
      </c>
      <c r="F15" s="1">
        <v>8.8890993523157764</v>
      </c>
      <c r="G15" s="1">
        <v>9.7014893881097173</v>
      </c>
      <c r="H15" s="1"/>
      <c r="I15" s="1">
        <v>7.1036604810215991</v>
      </c>
    </row>
    <row r="16" spans="1:9" x14ac:dyDescent="0.35">
      <c r="A16" s="5" t="s">
        <v>10</v>
      </c>
      <c r="B16" s="1">
        <v>3.2417253521126761</v>
      </c>
      <c r="C16" s="1">
        <v>6.5367716250452403</v>
      </c>
      <c r="D16" s="1">
        <v>6.5402676209740163</v>
      </c>
      <c r="E16" s="1">
        <v>6.0518719479110148</v>
      </c>
      <c r="F16" s="1">
        <v>9.8080997720262832</v>
      </c>
      <c r="G16" s="1">
        <v>9.2082763337893301</v>
      </c>
      <c r="H16" s="1"/>
      <c r="I16" s="1">
        <v>6.8978354419764258</v>
      </c>
    </row>
    <row r="17" spans="1:9" x14ac:dyDescent="0.35">
      <c r="A17" s="5" t="s">
        <v>18</v>
      </c>
      <c r="B17" s="1">
        <v>3.1374998715853089</v>
      </c>
      <c r="C17" s="1">
        <v>4.643849748465235</v>
      </c>
      <c r="D17" s="1">
        <v>6.7501333414239824</v>
      </c>
      <c r="E17" s="1">
        <v>6.8495325141563157</v>
      </c>
      <c r="F17" s="1">
        <v>7.3577097590270881</v>
      </c>
      <c r="G17" s="1">
        <v>9.7676352428208872</v>
      </c>
      <c r="H17" s="1">
        <v>8.9818786714473671</v>
      </c>
      <c r="I17" s="1">
        <v>6.7026325157132369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EE9A8-96B4-4338-BEB2-3F3FAE19909E}">
  <dimension ref="A1:J82"/>
  <sheetViews>
    <sheetView tabSelected="1" topLeftCell="A70" zoomScale="128" zoomScaleNormal="220" workbookViewId="0">
      <selection activeCell="B5" sqref="B5"/>
    </sheetView>
  </sheetViews>
  <sheetFormatPr defaultColWidth="10.90625" defaultRowHeight="14.5" x14ac:dyDescent="0.35"/>
  <sheetData>
    <row r="1" spans="1:10" x14ac:dyDescent="0.35">
      <c r="A1" s="12" t="s">
        <v>4</v>
      </c>
      <c r="B1" s="12" t="s">
        <v>3</v>
      </c>
      <c r="C1" s="13" t="s">
        <v>0</v>
      </c>
      <c r="D1" s="13" t="s">
        <v>1</v>
      </c>
      <c r="E1" s="13" t="s">
        <v>2</v>
      </c>
      <c r="F1" s="13" t="s">
        <v>33</v>
      </c>
      <c r="G1" s="13" t="s">
        <v>34</v>
      </c>
      <c r="H1" s="13" t="s">
        <v>35</v>
      </c>
      <c r="I1" s="14" t="s">
        <v>36</v>
      </c>
      <c r="J1" s="14" t="s">
        <v>37</v>
      </c>
    </row>
    <row r="2" spans="1:10" x14ac:dyDescent="0.35">
      <c r="A2" s="2">
        <v>2025</v>
      </c>
      <c r="B2" s="12" t="s">
        <v>13</v>
      </c>
      <c r="C2" s="17">
        <v>12424</v>
      </c>
      <c r="D2" s="17">
        <v>1646</v>
      </c>
      <c r="E2" s="17">
        <v>26466</v>
      </c>
      <c r="F2" s="17">
        <v>393589</v>
      </c>
      <c r="G2" s="17">
        <v>30152</v>
      </c>
      <c r="H2" s="17">
        <v>77</v>
      </c>
      <c r="I2" s="3">
        <f t="shared" ref="I2:I4" si="0">+C2/D2</f>
        <v>7.5479951397326852</v>
      </c>
      <c r="J2" s="3">
        <f t="shared" ref="J2:J4" si="1">+E2/C2</f>
        <v>2.1302318094011592</v>
      </c>
    </row>
    <row r="3" spans="1:10" x14ac:dyDescent="0.35">
      <c r="A3" s="2">
        <v>2025</v>
      </c>
      <c r="B3" s="12" t="s">
        <v>14</v>
      </c>
      <c r="C3" s="17">
        <v>11414</v>
      </c>
      <c r="D3" s="17">
        <v>1495</v>
      </c>
      <c r="E3" s="17">
        <v>23679</v>
      </c>
      <c r="F3" s="17">
        <v>352038</v>
      </c>
      <c r="G3" s="17">
        <v>90671</v>
      </c>
      <c r="H3" s="17">
        <v>80</v>
      </c>
      <c r="I3" s="3">
        <f t="shared" si="0"/>
        <v>7.6347826086956525</v>
      </c>
      <c r="J3" s="3">
        <f t="shared" si="1"/>
        <v>2.0745575608901348</v>
      </c>
    </row>
    <row r="4" spans="1:10" x14ac:dyDescent="0.35">
      <c r="A4" s="2">
        <v>2025</v>
      </c>
      <c r="B4" s="2" t="s">
        <v>15</v>
      </c>
      <c r="C4" s="18">
        <v>12984</v>
      </c>
      <c r="D4" s="18">
        <v>1650</v>
      </c>
      <c r="E4" s="18">
        <v>25189</v>
      </c>
      <c r="F4" s="18">
        <v>385770</v>
      </c>
      <c r="G4" s="18">
        <v>8308</v>
      </c>
      <c r="H4" s="18">
        <v>74</v>
      </c>
      <c r="I4" s="3">
        <f t="shared" si="0"/>
        <v>7.8690909090909091</v>
      </c>
      <c r="J4" s="3">
        <f t="shared" si="1"/>
        <v>1.9400030807147257</v>
      </c>
    </row>
    <row r="5" spans="1:10" x14ac:dyDescent="0.35">
      <c r="A5" s="2">
        <v>2025</v>
      </c>
      <c r="B5" s="2" t="s">
        <v>16</v>
      </c>
      <c r="C5" s="18">
        <v>13617</v>
      </c>
      <c r="D5" s="18">
        <v>1586</v>
      </c>
      <c r="E5" s="18">
        <v>24150</v>
      </c>
      <c r="F5" s="18">
        <v>370347</v>
      </c>
      <c r="G5" s="18">
        <v>4363</v>
      </c>
      <c r="H5" s="18">
        <v>80</v>
      </c>
      <c r="I5" s="3">
        <f t="shared" ref="I5" si="2">+C5/D5</f>
        <v>8.5857503152585117</v>
      </c>
      <c r="J5" s="3">
        <f t="shared" ref="J5" si="3">+E5/C5</f>
        <v>1.7735183961224938</v>
      </c>
    </row>
    <row r="6" spans="1:10" x14ac:dyDescent="0.35">
      <c r="A6" s="2">
        <v>2025</v>
      </c>
      <c r="B6" s="2" t="s">
        <v>5</v>
      </c>
      <c r="C6" s="18">
        <v>11090</v>
      </c>
      <c r="D6" s="18">
        <v>1246</v>
      </c>
      <c r="E6" s="18">
        <v>18150</v>
      </c>
      <c r="F6" s="18">
        <v>316073</v>
      </c>
      <c r="G6" s="18">
        <v>6495</v>
      </c>
      <c r="H6" s="18">
        <v>67</v>
      </c>
      <c r="I6" s="3">
        <f>+C6/D6</f>
        <v>8.9004815409309792</v>
      </c>
      <c r="J6" s="3">
        <f>+E6/C6</f>
        <v>1.6366095581605049</v>
      </c>
    </row>
    <row r="7" spans="1:10" x14ac:dyDescent="0.35">
      <c r="A7" s="2">
        <v>2025</v>
      </c>
      <c r="B7" s="2" t="s">
        <v>6</v>
      </c>
      <c r="C7" s="18">
        <v>8605.35</v>
      </c>
      <c r="D7" s="18">
        <v>951.6</v>
      </c>
      <c r="E7" s="18">
        <v>13360</v>
      </c>
      <c r="F7" s="18">
        <v>210023</v>
      </c>
      <c r="G7" s="18">
        <v>1452</v>
      </c>
      <c r="H7" s="18">
        <v>66</v>
      </c>
      <c r="I7" s="3">
        <f t="shared" ref="I7:I19" si="4">+C7/D7</f>
        <v>9.0430327868852469</v>
      </c>
      <c r="J7" s="3">
        <f t="shared" ref="J7:J19" si="5">+E7/C7</f>
        <v>1.5525225586408455</v>
      </c>
    </row>
    <row r="8" spans="1:10" x14ac:dyDescent="0.35">
      <c r="A8" s="2">
        <v>2025</v>
      </c>
      <c r="B8" s="2" t="s">
        <v>7</v>
      </c>
      <c r="C8" s="18">
        <v>11080</v>
      </c>
      <c r="D8" s="18">
        <v>1071.4000000000001</v>
      </c>
      <c r="E8" s="18">
        <v>14450</v>
      </c>
      <c r="F8" s="18">
        <v>252321</v>
      </c>
      <c r="G8" s="18">
        <v>150</v>
      </c>
      <c r="H8" s="18">
        <v>67</v>
      </c>
      <c r="I8" s="3">
        <f t="shared" si="4"/>
        <v>10.341609109576254</v>
      </c>
      <c r="J8" s="3">
        <f t="shared" si="5"/>
        <v>1.3041516245487366</v>
      </c>
    </row>
    <row r="9" spans="1:10" x14ac:dyDescent="0.35">
      <c r="A9" s="2">
        <v>2025</v>
      </c>
      <c r="B9" s="2" t="s">
        <v>8</v>
      </c>
      <c r="C9" s="18">
        <v>12750</v>
      </c>
      <c r="D9" s="18">
        <v>1217.5</v>
      </c>
      <c r="E9" s="18">
        <v>17450</v>
      </c>
      <c r="F9" s="18">
        <v>281449</v>
      </c>
      <c r="G9" s="18">
        <v>0</v>
      </c>
      <c r="H9" s="18">
        <v>63</v>
      </c>
      <c r="I9" s="3">
        <f t="shared" si="4"/>
        <v>10.472279260780287</v>
      </c>
      <c r="J9" s="3">
        <f t="shared" si="5"/>
        <v>1.3686274509803922</v>
      </c>
    </row>
    <row r="10" spans="1:10" x14ac:dyDescent="0.35">
      <c r="A10" s="2">
        <v>2025</v>
      </c>
      <c r="B10" s="2" t="s">
        <v>9</v>
      </c>
      <c r="C10" s="18">
        <v>14060</v>
      </c>
      <c r="D10" s="18">
        <v>1346.5</v>
      </c>
      <c r="E10" s="18">
        <v>18120</v>
      </c>
      <c r="F10" s="18">
        <v>310252</v>
      </c>
      <c r="G10" s="18">
        <v>2007</v>
      </c>
      <c r="H10" s="18">
        <v>62</v>
      </c>
      <c r="I10" s="3">
        <f t="shared" si="4"/>
        <v>10.441886372075752</v>
      </c>
      <c r="J10" s="3">
        <f t="shared" si="5"/>
        <v>1.2887624466571834</v>
      </c>
    </row>
    <row r="11" spans="1:10" x14ac:dyDescent="0.35">
      <c r="A11" s="2">
        <v>2024</v>
      </c>
      <c r="B11" s="2" t="s">
        <v>10</v>
      </c>
      <c r="C11" s="18">
        <v>10770</v>
      </c>
      <c r="D11" s="18">
        <v>1169.5999999999999</v>
      </c>
      <c r="E11" s="18">
        <v>14940</v>
      </c>
      <c r="F11" s="18"/>
      <c r="G11" s="18"/>
      <c r="H11" s="18"/>
      <c r="I11" s="3">
        <f t="shared" si="4"/>
        <v>9.2082763337893301</v>
      </c>
      <c r="J11" s="3">
        <f t="shared" si="5"/>
        <v>1.3871866295264623</v>
      </c>
    </row>
    <row r="12" spans="1:10" x14ac:dyDescent="0.35">
      <c r="A12" s="2">
        <v>2024</v>
      </c>
      <c r="B12" s="2" t="s">
        <v>11</v>
      </c>
      <c r="C12" s="18">
        <v>7816.49</v>
      </c>
      <c r="D12" s="18">
        <v>805.7</v>
      </c>
      <c r="E12" s="18">
        <v>9999</v>
      </c>
      <c r="F12" s="18"/>
      <c r="G12" s="18"/>
      <c r="H12" s="18"/>
      <c r="I12" s="3">
        <f t="shared" si="4"/>
        <v>9.7014893881097173</v>
      </c>
      <c r="J12" s="3">
        <f t="shared" si="5"/>
        <v>1.2792186774370593</v>
      </c>
    </row>
    <row r="13" spans="1:10" x14ac:dyDescent="0.35">
      <c r="A13" s="2">
        <v>2024</v>
      </c>
      <c r="B13" s="2" t="s">
        <v>12</v>
      </c>
      <c r="C13" s="18">
        <v>11790</v>
      </c>
      <c r="D13" s="18">
        <v>1050</v>
      </c>
      <c r="E13" s="18">
        <v>12070</v>
      </c>
      <c r="F13" s="18"/>
      <c r="G13" s="18"/>
      <c r="H13" s="18"/>
      <c r="I13" s="3">
        <f t="shared" si="4"/>
        <v>11.228571428571428</v>
      </c>
      <c r="J13" s="3">
        <f t="shared" si="5"/>
        <v>1.0237489397794741</v>
      </c>
    </row>
    <row r="14" spans="1:10" x14ac:dyDescent="0.35">
      <c r="A14" s="2">
        <v>2024</v>
      </c>
      <c r="B14" s="2" t="s">
        <v>13</v>
      </c>
      <c r="C14" s="18">
        <v>9368.66</v>
      </c>
      <c r="D14" s="18">
        <v>896.4</v>
      </c>
      <c r="E14" s="18">
        <v>10940</v>
      </c>
      <c r="F14" s="18"/>
      <c r="G14" s="18"/>
      <c r="H14" s="18"/>
      <c r="I14" s="3">
        <f t="shared" si="4"/>
        <v>10.451427933958055</v>
      </c>
      <c r="J14" s="3">
        <f t="shared" si="5"/>
        <v>1.1677230254913724</v>
      </c>
    </row>
    <row r="15" spans="1:10" x14ac:dyDescent="0.35">
      <c r="A15" s="2">
        <v>2024</v>
      </c>
      <c r="B15" s="2" t="s">
        <v>14</v>
      </c>
      <c r="C15" s="18">
        <v>10880</v>
      </c>
      <c r="D15" s="18">
        <v>1003.6</v>
      </c>
      <c r="E15" s="18">
        <v>11900</v>
      </c>
      <c r="F15" s="18"/>
      <c r="G15" s="18"/>
      <c r="H15" s="18"/>
      <c r="I15" s="3">
        <f t="shared" si="4"/>
        <v>10.840972499003588</v>
      </c>
      <c r="J15" s="3">
        <f t="shared" si="5"/>
        <v>1.09375</v>
      </c>
    </row>
    <row r="16" spans="1:10" x14ac:dyDescent="0.35">
      <c r="A16" s="2">
        <v>2024</v>
      </c>
      <c r="B16" s="2" t="s">
        <v>15</v>
      </c>
      <c r="C16" s="18">
        <v>12350</v>
      </c>
      <c r="D16" s="18">
        <v>1146.7</v>
      </c>
      <c r="E16" s="18">
        <v>13500</v>
      </c>
      <c r="F16" s="18"/>
      <c r="G16" s="18"/>
      <c r="H16" s="18"/>
      <c r="I16" s="3">
        <f t="shared" si="4"/>
        <v>10.77003575477457</v>
      </c>
      <c r="J16" s="3">
        <f t="shared" si="5"/>
        <v>1.0931174089068827</v>
      </c>
    </row>
    <row r="17" spans="1:10" x14ac:dyDescent="0.35">
      <c r="A17" s="2">
        <v>2024</v>
      </c>
      <c r="B17" s="2" t="s">
        <v>16</v>
      </c>
      <c r="C17" s="18">
        <v>10830</v>
      </c>
      <c r="D17" s="18">
        <v>1073.3</v>
      </c>
      <c r="E17" s="18">
        <v>12490</v>
      </c>
      <c r="F17" s="18"/>
      <c r="G17" s="18"/>
      <c r="H17" s="18"/>
      <c r="I17" s="3">
        <f t="shared" si="4"/>
        <v>10.090375477499302</v>
      </c>
      <c r="J17" s="3">
        <f t="shared" si="5"/>
        <v>1.1532779316712836</v>
      </c>
    </row>
    <row r="18" spans="1:10" x14ac:dyDescent="0.35">
      <c r="A18" s="2">
        <v>2024</v>
      </c>
      <c r="B18" s="2" t="s">
        <v>5</v>
      </c>
      <c r="C18" s="18">
        <v>7413</v>
      </c>
      <c r="D18" s="18">
        <v>782.6</v>
      </c>
      <c r="E18" s="18">
        <v>9613</v>
      </c>
      <c r="F18" s="18"/>
      <c r="G18" s="18"/>
      <c r="H18" s="18"/>
      <c r="I18" s="3">
        <f t="shared" si="4"/>
        <v>9.4722719141323797</v>
      </c>
      <c r="J18" s="3">
        <f t="shared" si="5"/>
        <v>1.2967759341697018</v>
      </c>
    </row>
    <row r="19" spans="1:10" x14ac:dyDescent="0.35">
      <c r="A19" s="2">
        <v>2024</v>
      </c>
      <c r="B19" s="2" t="s">
        <v>6</v>
      </c>
      <c r="C19" s="18">
        <v>3684.64</v>
      </c>
      <c r="D19" s="18">
        <v>420.8</v>
      </c>
      <c r="E19" s="18">
        <v>5699</v>
      </c>
      <c r="F19" s="18"/>
      <c r="G19" s="18"/>
      <c r="H19" s="18"/>
      <c r="I19" s="3">
        <f t="shared" si="4"/>
        <v>8.7562737642585553</v>
      </c>
      <c r="J19" s="3">
        <f t="shared" si="5"/>
        <v>1.5466911285770117</v>
      </c>
    </row>
    <row r="20" spans="1:10" x14ac:dyDescent="0.35">
      <c r="A20" s="2">
        <v>2024</v>
      </c>
      <c r="B20" s="2" t="s">
        <v>7</v>
      </c>
      <c r="C20" s="18">
        <v>5079.9799999999996</v>
      </c>
      <c r="D20" s="18">
        <v>530.79999999999995</v>
      </c>
      <c r="E20" s="18">
        <v>6575</v>
      </c>
      <c r="F20" s="18"/>
      <c r="G20" s="18"/>
      <c r="H20" s="18"/>
      <c r="I20" s="3">
        <f t="shared" ref="I20:I34" si="6">+C20/D20</f>
        <v>9.5704220045214772</v>
      </c>
      <c r="J20" s="3">
        <f t="shared" ref="J20:J34" si="7">+E20/C20</f>
        <v>1.2942964342379302</v>
      </c>
    </row>
    <row r="21" spans="1:10" x14ac:dyDescent="0.35">
      <c r="A21" s="2">
        <v>2024</v>
      </c>
      <c r="B21" s="2" t="s">
        <v>8</v>
      </c>
      <c r="C21" s="18">
        <v>4946.3500000000004</v>
      </c>
      <c r="D21" s="18">
        <v>599.20000000000005</v>
      </c>
      <c r="E21" s="18">
        <v>7999</v>
      </c>
      <c r="F21" s="18"/>
      <c r="G21" s="18"/>
      <c r="H21" s="18"/>
      <c r="I21" s="3">
        <f t="shared" si="6"/>
        <v>8.254923230974633</v>
      </c>
      <c r="J21" s="3">
        <f t="shared" si="7"/>
        <v>1.6171520414042677</v>
      </c>
    </row>
    <row r="22" spans="1:10" x14ac:dyDescent="0.35">
      <c r="A22" s="2">
        <v>2024</v>
      </c>
      <c r="B22" s="2" t="s">
        <v>9</v>
      </c>
      <c r="C22" s="18">
        <v>7434.63</v>
      </c>
      <c r="D22" s="18">
        <v>838.5</v>
      </c>
      <c r="E22" s="18">
        <v>10130</v>
      </c>
      <c r="F22" s="18"/>
      <c r="G22" s="18"/>
      <c r="H22" s="18"/>
      <c r="I22" s="3">
        <f t="shared" si="6"/>
        <v>8.8665831842576033</v>
      </c>
      <c r="J22" s="3">
        <f t="shared" si="7"/>
        <v>1.362542587862476</v>
      </c>
    </row>
    <row r="23" spans="1:10" x14ac:dyDescent="0.35">
      <c r="A23" s="2">
        <v>2023</v>
      </c>
      <c r="B23" s="2" t="s">
        <v>10</v>
      </c>
      <c r="C23" s="18">
        <v>7313.9</v>
      </c>
      <c r="D23" s="18">
        <v>745.7</v>
      </c>
      <c r="E23" s="18">
        <v>8597</v>
      </c>
      <c r="F23" s="18"/>
      <c r="G23" s="18"/>
      <c r="H23" s="18"/>
      <c r="I23" s="3">
        <f t="shared" si="6"/>
        <v>9.8080997720262832</v>
      </c>
      <c r="J23" s="3">
        <f t="shared" si="7"/>
        <v>1.1754330794788006</v>
      </c>
    </row>
    <row r="24" spans="1:10" x14ac:dyDescent="0.35">
      <c r="A24" s="2">
        <v>2023</v>
      </c>
      <c r="B24" s="2" t="s">
        <v>11</v>
      </c>
      <c r="C24" s="18">
        <v>7273.95</v>
      </c>
      <c r="D24" s="18">
        <v>818.3</v>
      </c>
      <c r="E24" s="18">
        <v>9768</v>
      </c>
      <c r="F24" s="18"/>
      <c r="G24" s="18"/>
      <c r="H24" s="18"/>
      <c r="I24" s="3">
        <f t="shared" si="6"/>
        <v>8.8890993523157764</v>
      </c>
      <c r="J24" s="3">
        <f t="shared" si="7"/>
        <v>1.3428742292702041</v>
      </c>
    </row>
    <row r="25" spans="1:10" x14ac:dyDescent="0.35">
      <c r="A25" s="2">
        <v>2023</v>
      </c>
      <c r="B25" s="2" t="s">
        <v>12</v>
      </c>
      <c r="C25" s="18">
        <v>6320.61</v>
      </c>
      <c r="D25" s="18">
        <v>751.6</v>
      </c>
      <c r="E25" s="18">
        <v>9018</v>
      </c>
      <c r="F25" s="18"/>
      <c r="G25" s="18"/>
      <c r="H25" s="18"/>
      <c r="I25" s="3">
        <f t="shared" si="6"/>
        <v>8.4095396487493339</v>
      </c>
      <c r="J25" s="3">
        <f t="shared" si="7"/>
        <v>1.4267610246479376</v>
      </c>
    </row>
    <row r="26" spans="1:10" x14ac:dyDescent="0.35">
      <c r="A26" s="2">
        <v>2023</v>
      </c>
      <c r="B26" s="2" t="s">
        <v>13</v>
      </c>
      <c r="C26" s="18">
        <v>7159.39</v>
      </c>
      <c r="D26" s="18">
        <v>835.9</v>
      </c>
      <c r="E26" s="18">
        <v>9682</v>
      </c>
      <c r="F26" s="18"/>
      <c r="G26" s="18"/>
      <c r="H26" s="18"/>
      <c r="I26" s="3">
        <f t="shared" si="6"/>
        <v>8.5648881445148941</v>
      </c>
      <c r="J26" s="3">
        <f t="shared" si="7"/>
        <v>1.3523498510347949</v>
      </c>
    </row>
    <row r="27" spans="1:10" x14ac:dyDescent="0.35">
      <c r="A27" s="2">
        <v>2023</v>
      </c>
      <c r="B27" s="2" t="s">
        <v>14</v>
      </c>
      <c r="C27" s="18">
        <v>7532.41</v>
      </c>
      <c r="D27" s="18">
        <v>991.9</v>
      </c>
      <c r="E27" s="18">
        <v>12160</v>
      </c>
      <c r="F27" s="18"/>
      <c r="G27" s="18"/>
      <c r="H27" s="18"/>
      <c r="I27" s="3">
        <f t="shared" si="6"/>
        <v>7.5939207581409418</v>
      </c>
      <c r="J27" s="3">
        <f t="shared" si="7"/>
        <v>1.6143571579348444</v>
      </c>
    </row>
    <row r="28" spans="1:10" x14ac:dyDescent="0.35">
      <c r="A28" s="2">
        <v>2023</v>
      </c>
      <c r="B28" s="2" t="s">
        <v>15</v>
      </c>
      <c r="C28" s="18">
        <v>8346.4</v>
      </c>
      <c r="D28" s="18">
        <v>1001.5</v>
      </c>
      <c r="E28" s="18">
        <v>11390</v>
      </c>
      <c r="F28" s="18"/>
      <c r="G28" s="18"/>
      <c r="H28" s="18"/>
      <c r="I28" s="3">
        <f t="shared" si="6"/>
        <v>8.3338991512730907</v>
      </c>
      <c r="J28" s="3">
        <f t="shared" si="7"/>
        <v>1.364660212786351</v>
      </c>
    </row>
    <row r="29" spans="1:10" x14ac:dyDescent="0.35">
      <c r="A29" s="2">
        <v>2023</v>
      </c>
      <c r="B29" s="2" t="s">
        <v>16</v>
      </c>
      <c r="C29" s="18">
        <v>6853.03</v>
      </c>
      <c r="D29" s="18">
        <v>822.3</v>
      </c>
      <c r="E29" s="18">
        <v>9473</v>
      </c>
      <c r="F29" s="18"/>
      <c r="G29" s="18"/>
      <c r="H29" s="18"/>
      <c r="I29" s="3">
        <f t="shared" si="6"/>
        <v>8.3339778669585307</v>
      </c>
      <c r="J29" s="3">
        <f t="shared" si="7"/>
        <v>1.3823082636439648</v>
      </c>
    </row>
    <row r="30" spans="1:10" x14ac:dyDescent="0.35">
      <c r="A30" s="2">
        <v>2023</v>
      </c>
      <c r="B30" s="2" t="s">
        <v>5</v>
      </c>
      <c r="C30" s="18">
        <v>3055.26</v>
      </c>
      <c r="D30" s="18">
        <v>475.2</v>
      </c>
      <c r="E30" s="18">
        <v>6102</v>
      </c>
      <c r="F30" s="18"/>
      <c r="G30" s="18"/>
      <c r="H30" s="18"/>
      <c r="I30" s="3">
        <f t="shared" si="6"/>
        <v>6.4294191919191928</v>
      </c>
      <c r="J30" s="3">
        <f t="shared" si="7"/>
        <v>1.9972113666267355</v>
      </c>
    </row>
    <row r="31" spans="1:10" x14ac:dyDescent="0.35">
      <c r="A31" s="2">
        <v>2023</v>
      </c>
      <c r="B31" s="2" t="s">
        <v>6</v>
      </c>
      <c r="C31" s="18">
        <v>2642.77</v>
      </c>
      <c r="D31" s="18">
        <v>505.5</v>
      </c>
      <c r="E31" s="18">
        <v>5858</v>
      </c>
      <c r="F31" s="18"/>
      <c r="G31" s="18"/>
      <c r="H31" s="18"/>
      <c r="I31" s="3">
        <f t="shared" si="6"/>
        <v>5.2280316518298715</v>
      </c>
      <c r="J31" s="3">
        <f t="shared" si="7"/>
        <v>2.216613628881817</v>
      </c>
    </row>
    <row r="32" spans="1:10" x14ac:dyDescent="0.35">
      <c r="A32" s="2">
        <v>2023</v>
      </c>
      <c r="B32" s="2" t="s">
        <v>7</v>
      </c>
      <c r="C32" s="18">
        <v>3796.24</v>
      </c>
      <c r="D32" s="18">
        <v>689.8</v>
      </c>
      <c r="E32" s="18">
        <v>8103</v>
      </c>
      <c r="F32" s="18"/>
      <c r="G32" s="18"/>
      <c r="H32" s="18"/>
      <c r="I32" s="3">
        <f t="shared" si="6"/>
        <v>5.5033922876196</v>
      </c>
      <c r="J32" s="3">
        <f t="shared" si="7"/>
        <v>2.1344804332708156</v>
      </c>
    </row>
    <row r="33" spans="1:10" x14ac:dyDescent="0.35">
      <c r="A33" s="2">
        <v>2023</v>
      </c>
      <c r="B33" s="2" t="s">
        <v>8</v>
      </c>
      <c r="C33" s="18">
        <v>4189.71</v>
      </c>
      <c r="D33" s="18">
        <v>740.5</v>
      </c>
      <c r="E33" s="18">
        <v>9240</v>
      </c>
      <c r="F33" s="18"/>
      <c r="G33" s="18"/>
      <c r="H33" s="18"/>
      <c r="I33" s="3">
        <f t="shared" si="6"/>
        <v>5.6579473328831869</v>
      </c>
      <c r="J33" s="3">
        <f t="shared" si="7"/>
        <v>2.2054032379329356</v>
      </c>
    </row>
    <row r="34" spans="1:10" x14ac:dyDescent="0.35">
      <c r="A34" s="2">
        <v>2023</v>
      </c>
      <c r="B34" s="2" t="s">
        <v>9</v>
      </c>
      <c r="C34" s="18">
        <v>5284.34</v>
      </c>
      <c r="D34" s="18">
        <v>953.8</v>
      </c>
      <c r="E34" s="18">
        <v>11720</v>
      </c>
      <c r="F34" s="18"/>
      <c r="G34" s="18"/>
      <c r="H34" s="18"/>
      <c r="I34" s="3">
        <f t="shared" si="6"/>
        <v>5.54030195009436</v>
      </c>
      <c r="J34" s="3">
        <f t="shared" si="7"/>
        <v>2.2178739445228732</v>
      </c>
    </row>
    <row r="35" spans="1:10" x14ac:dyDescent="0.35">
      <c r="A35" s="2">
        <v>2022</v>
      </c>
      <c r="B35" s="2" t="s">
        <v>10</v>
      </c>
      <c r="C35" s="18">
        <v>5576.8</v>
      </c>
      <c r="D35" s="18">
        <v>921.5</v>
      </c>
      <c r="E35" s="18">
        <v>11210</v>
      </c>
      <c r="F35" s="18"/>
      <c r="G35" s="18"/>
      <c r="H35" s="18"/>
      <c r="I35" s="3">
        <f t="shared" ref="I35:I82" si="8">+C35/D35</f>
        <v>6.0518719479110148</v>
      </c>
      <c r="J35" s="3">
        <f t="shared" ref="J35:J82" si="9">+E35/C35</f>
        <v>2.0101133266389328</v>
      </c>
    </row>
    <row r="36" spans="1:10" x14ac:dyDescent="0.35">
      <c r="A36" s="2">
        <v>2022</v>
      </c>
      <c r="B36" s="2" t="s">
        <v>11</v>
      </c>
      <c r="C36" s="18">
        <v>4183.95</v>
      </c>
      <c r="D36" s="18">
        <v>623.4</v>
      </c>
      <c r="E36" s="18">
        <v>7582</v>
      </c>
      <c r="F36" s="18"/>
      <c r="G36" s="18"/>
      <c r="H36" s="18"/>
      <c r="I36" s="3">
        <f t="shared" si="8"/>
        <v>6.7115014436958615</v>
      </c>
      <c r="J36" s="3">
        <f t="shared" si="9"/>
        <v>1.8121631472651443</v>
      </c>
    </row>
    <row r="37" spans="1:10" x14ac:dyDescent="0.35">
      <c r="A37" s="2">
        <v>2022</v>
      </c>
      <c r="B37" s="2" t="s">
        <v>12</v>
      </c>
      <c r="C37" s="18">
        <v>4552.01</v>
      </c>
      <c r="D37" s="18">
        <v>644.1</v>
      </c>
      <c r="E37" s="18">
        <v>7070</v>
      </c>
      <c r="F37" s="18"/>
      <c r="G37" s="18"/>
      <c r="H37" s="18"/>
      <c r="I37" s="3">
        <f t="shared" si="8"/>
        <v>7.0672411116286291</v>
      </c>
      <c r="J37" s="3">
        <f t="shared" si="9"/>
        <v>1.5531600326009829</v>
      </c>
    </row>
    <row r="38" spans="1:10" x14ac:dyDescent="0.35">
      <c r="A38" s="2">
        <v>2022</v>
      </c>
      <c r="B38" s="2" t="s">
        <v>13</v>
      </c>
      <c r="C38" s="18">
        <v>4785.21</v>
      </c>
      <c r="D38" s="18">
        <v>699.5</v>
      </c>
      <c r="E38" s="18">
        <v>7792</v>
      </c>
      <c r="F38" s="18"/>
      <c r="G38" s="18"/>
      <c r="H38" s="18"/>
      <c r="I38" s="3">
        <f t="shared" si="8"/>
        <v>6.8409006433166546</v>
      </c>
      <c r="J38" s="3">
        <f t="shared" si="9"/>
        <v>1.6283506888934864</v>
      </c>
    </row>
    <row r="39" spans="1:10" x14ac:dyDescent="0.35">
      <c r="A39" s="2">
        <v>2022</v>
      </c>
      <c r="B39" s="2" t="s">
        <v>14</v>
      </c>
      <c r="C39" s="18">
        <v>6007.68</v>
      </c>
      <c r="D39" s="18">
        <v>888.3</v>
      </c>
      <c r="E39" s="18">
        <v>10280</v>
      </c>
      <c r="F39" s="18"/>
      <c r="G39" s="18"/>
      <c r="H39" s="18"/>
      <c r="I39" s="3">
        <f t="shared" si="8"/>
        <v>6.7631205673758874</v>
      </c>
      <c r="J39" s="3">
        <f t="shared" si="9"/>
        <v>1.7111430702034729</v>
      </c>
    </row>
    <row r="40" spans="1:10" x14ac:dyDescent="0.35">
      <c r="A40" s="2">
        <v>2022</v>
      </c>
      <c r="B40" s="2" t="s">
        <v>15</v>
      </c>
      <c r="C40" s="18">
        <v>4630.74</v>
      </c>
      <c r="D40" s="18">
        <v>719.7</v>
      </c>
      <c r="E40" s="18">
        <v>8090</v>
      </c>
      <c r="F40" s="18"/>
      <c r="G40" s="18"/>
      <c r="H40" s="18"/>
      <c r="I40" s="3">
        <f t="shared" si="8"/>
        <v>6.4342642767819918</v>
      </c>
      <c r="J40" s="3">
        <f t="shared" si="9"/>
        <v>1.7470209944846828</v>
      </c>
    </row>
    <row r="41" spans="1:10" x14ac:dyDescent="0.35">
      <c r="A41" s="2">
        <v>2022</v>
      </c>
      <c r="B41" s="2" t="s">
        <v>16</v>
      </c>
      <c r="C41" s="18">
        <v>3927.25</v>
      </c>
      <c r="D41" s="18">
        <v>550.20000000000005</v>
      </c>
      <c r="E41" s="18">
        <v>6465</v>
      </c>
      <c r="F41" s="18"/>
      <c r="G41" s="18"/>
      <c r="H41" s="18"/>
      <c r="I41" s="3">
        <f t="shared" si="8"/>
        <v>7.1378589603780433</v>
      </c>
      <c r="J41" s="3">
        <f t="shared" si="9"/>
        <v>1.6461900821185307</v>
      </c>
    </row>
    <row r="42" spans="1:10" x14ac:dyDescent="0.35">
      <c r="A42" s="2">
        <v>2022</v>
      </c>
      <c r="B42" s="2" t="s">
        <v>5</v>
      </c>
      <c r="C42" s="18">
        <v>4718.2</v>
      </c>
      <c r="D42" s="18">
        <v>674.4</v>
      </c>
      <c r="E42" s="18">
        <v>7938</v>
      </c>
      <c r="F42" s="18"/>
      <c r="G42" s="18"/>
      <c r="H42" s="18"/>
      <c r="I42" s="3">
        <f t="shared" si="8"/>
        <v>6.9961447212336889</v>
      </c>
      <c r="J42" s="3">
        <f t="shared" si="9"/>
        <v>1.6824212623458099</v>
      </c>
    </row>
    <row r="43" spans="1:10" x14ac:dyDescent="0.35">
      <c r="A43" s="2">
        <v>2022</v>
      </c>
      <c r="B43" s="2" t="s">
        <v>6</v>
      </c>
      <c r="C43" s="18">
        <v>3497.6</v>
      </c>
      <c r="D43" s="18">
        <v>498</v>
      </c>
      <c r="E43" s="18">
        <v>5745</v>
      </c>
      <c r="F43" s="18"/>
      <c r="G43" s="18"/>
      <c r="H43" s="18"/>
      <c r="I43" s="3">
        <f t="shared" si="8"/>
        <v>7.0232931726907628</v>
      </c>
      <c r="J43" s="3">
        <f t="shared" si="9"/>
        <v>1.6425548947849955</v>
      </c>
    </row>
    <row r="44" spans="1:10" x14ac:dyDescent="0.35">
      <c r="A44" s="2">
        <v>2022</v>
      </c>
      <c r="B44" s="2" t="s">
        <v>7</v>
      </c>
      <c r="C44" s="18">
        <v>2597.64</v>
      </c>
      <c r="D44" s="18">
        <v>369.4</v>
      </c>
      <c r="E44" s="18">
        <v>4471</v>
      </c>
      <c r="F44" s="18"/>
      <c r="G44" s="18"/>
      <c r="H44" s="18"/>
      <c r="I44" s="3">
        <f t="shared" si="8"/>
        <v>7.032051976177585</v>
      </c>
      <c r="J44" s="3">
        <f t="shared" si="9"/>
        <v>1.7211776843596496</v>
      </c>
    </row>
    <row r="45" spans="1:10" x14ac:dyDescent="0.35">
      <c r="A45" s="2">
        <v>2022</v>
      </c>
      <c r="B45" s="2" t="s">
        <v>8</v>
      </c>
      <c r="C45" s="18">
        <v>3927.19</v>
      </c>
      <c r="D45" s="18">
        <v>525</v>
      </c>
      <c r="E45" s="18">
        <v>6376</v>
      </c>
      <c r="F45" s="18"/>
      <c r="G45" s="18"/>
      <c r="H45" s="18"/>
      <c r="I45" s="3">
        <f t="shared" si="8"/>
        <v>7.4803619047619048</v>
      </c>
      <c r="J45" s="3">
        <f t="shared" si="9"/>
        <v>1.6235527183558727</v>
      </c>
    </row>
    <row r="46" spans="1:10" x14ac:dyDescent="0.35">
      <c r="A46" s="2">
        <v>2022</v>
      </c>
      <c r="B46" s="2" t="s">
        <v>9</v>
      </c>
      <c r="C46" s="18">
        <v>4261.03</v>
      </c>
      <c r="D46" s="18">
        <v>640.20000000000005</v>
      </c>
      <c r="E46" s="18">
        <v>8092</v>
      </c>
      <c r="F46" s="18"/>
      <c r="G46" s="18"/>
      <c r="H46" s="18"/>
      <c r="I46" s="3">
        <f t="shared" si="8"/>
        <v>6.6557794439237732</v>
      </c>
      <c r="J46" s="3">
        <f t="shared" si="9"/>
        <v>1.8990713512929973</v>
      </c>
    </row>
    <row r="47" spans="1:10" x14ac:dyDescent="0.35">
      <c r="A47" s="2">
        <v>2021</v>
      </c>
      <c r="B47" s="2" t="s">
        <v>10</v>
      </c>
      <c r="C47" s="18">
        <v>4203.43</v>
      </c>
      <c r="D47" s="18">
        <v>642.70000000000005</v>
      </c>
      <c r="E47" s="18">
        <v>7805</v>
      </c>
      <c r="F47" s="18"/>
      <c r="G47" s="18"/>
      <c r="H47" s="18"/>
      <c r="I47" s="3">
        <f t="shared" si="8"/>
        <v>6.5402676209740163</v>
      </c>
      <c r="J47" s="3">
        <f t="shared" si="9"/>
        <v>1.8568169328381821</v>
      </c>
    </row>
    <row r="48" spans="1:10" x14ac:dyDescent="0.35">
      <c r="A48" s="2">
        <v>2021</v>
      </c>
      <c r="B48" s="2" t="s">
        <v>11</v>
      </c>
      <c r="C48" s="18">
        <v>3927.36</v>
      </c>
      <c r="D48" s="18">
        <v>555.9</v>
      </c>
      <c r="E48" s="18">
        <v>6636</v>
      </c>
      <c r="F48" s="18"/>
      <c r="G48" s="18"/>
      <c r="H48" s="18"/>
      <c r="I48" s="3">
        <f t="shared" si="8"/>
        <v>7.0648677819751757</v>
      </c>
      <c r="J48" s="3">
        <f t="shared" si="9"/>
        <v>1.6896846736739184</v>
      </c>
    </row>
    <row r="49" spans="1:10" x14ac:dyDescent="0.35">
      <c r="A49" s="2">
        <v>2021</v>
      </c>
      <c r="B49" s="2" t="s">
        <v>12</v>
      </c>
      <c r="C49" s="18">
        <v>4342.5600000000004</v>
      </c>
      <c r="D49" s="18">
        <v>696.6</v>
      </c>
      <c r="E49" s="18">
        <v>8925</v>
      </c>
      <c r="F49" s="18"/>
      <c r="G49" s="18"/>
      <c r="H49" s="18"/>
      <c r="I49" s="3">
        <f t="shared" si="8"/>
        <v>6.2339362618432386</v>
      </c>
      <c r="J49" s="3">
        <f t="shared" si="9"/>
        <v>2.055239305847242</v>
      </c>
    </row>
    <row r="50" spans="1:10" x14ac:dyDescent="0.35">
      <c r="A50" s="2">
        <v>2021</v>
      </c>
      <c r="B50" s="2" t="s">
        <v>13</v>
      </c>
      <c r="C50" s="18">
        <v>3282.91</v>
      </c>
      <c r="D50" s="18">
        <v>518.20000000000005</v>
      </c>
      <c r="E50" s="18">
        <v>6275</v>
      </c>
      <c r="F50" s="18"/>
      <c r="G50" s="18"/>
      <c r="H50" s="18"/>
      <c r="I50" s="3">
        <f t="shared" si="8"/>
        <v>6.3352180625241212</v>
      </c>
      <c r="J50" s="3">
        <f t="shared" si="9"/>
        <v>1.9114139589571448</v>
      </c>
    </row>
    <row r="51" spans="1:10" x14ac:dyDescent="0.35">
      <c r="A51" s="2">
        <v>2021</v>
      </c>
      <c r="B51" s="2" t="s">
        <v>14</v>
      </c>
      <c r="C51" s="18">
        <v>3153.53</v>
      </c>
      <c r="D51" s="18">
        <v>399.7</v>
      </c>
      <c r="E51" s="18">
        <v>4907</v>
      </c>
      <c r="F51" s="18"/>
      <c r="G51" s="18"/>
      <c r="H51" s="18"/>
      <c r="I51" s="3">
        <f t="shared" si="8"/>
        <v>7.8897423067300485</v>
      </c>
      <c r="J51" s="3">
        <f t="shared" si="9"/>
        <v>1.5560340317041537</v>
      </c>
    </row>
    <row r="52" spans="1:10" x14ac:dyDescent="0.35">
      <c r="A52" s="2">
        <v>2021</v>
      </c>
      <c r="B52" s="2" t="s">
        <v>15</v>
      </c>
      <c r="C52" s="18">
        <v>2372.09</v>
      </c>
      <c r="D52" s="18">
        <v>329.8</v>
      </c>
      <c r="E52" s="18">
        <v>4251</v>
      </c>
      <c r="F52" s="18"/>
      <c r="G52" s="18"/>
      <c r="H52" s="18"/>
      <c r="I52" s="3">
        <f t="shared" si="8"/>
        <v>7.1925106124924199</v>
      </c>
      <c r="J52" s="3">
        <f t="shared" si="9"/>
        <v>1.7920905193310539</v>
      </c>
    </row>
    <row r="53" spans="1:10" x14ac:dyDescent="0.35">
      <c r="A53" s="2">
        <v>2021</v>
      </c>
      <c r="B53" s="2" t="s">
        <v>16</v>
      </c>
      <c r="C53" s="18">
        <v>2945.88</v>
      </c>
      <c r="D53" s="18">
        <v>445.6</v>
      </c>
      <c r="E53" s="18">
        <v>5426</v>
      </c>
      <c r="F53" s="18"/>
      <c r="G53" s="18"/>
      <c r="H53" s="18"/>
      <c r="I53" s="3">
        <f t="shared" si="8"/>
        <v>6.611041292639138</v>
      </c>
      <c r="J53" s="3">
        <f t="shared" si="9"/>
        <v>1.8418944424077015</v>
      </c>
    </row>
    <row r="54" spans="1:10" x14ac:dyDescent="0.35">
      <c r="A54" s="2">
        <v>2021</v>
      </c>
      <c r="B54" s="2" t="s">
        <v>5</v>
      </c>
      <c r="C54" s="18">
        <v>1142.2</v>
      </c>
      <c r="D54" s="18">
        <v>188.8</v>
      </c>
      <c r="E54" s="18">
        <v>2290</v>
      </c>
      <c r="F54" s="18"/>
      <c r="G54" s="18"/>
      <c r="H54" s="18"/>
      <c r="I54" s="3">
        <f t="shared" si="8"/>
        <v>6.0497881355932206</v>
      </c>
      <c r="J54" s="3">
        <f t="shared" si="9"/>
        <v>2.0049028191209946</v>
      </c>
    </row>
    <row r="55" spans="1:10" x14ac:dyDescent="0.35">
      <c r="A55" s="2">
        <v>2021</v>
      </c>
      <c r="B55" s="2" t="s">
        <v>6</v>
      </c>
      <c r="C55" s="18">
        <v>1089.53</v>
      </c>
      <c r="D55" s="18">
        <v>171.2</v>
      </c>
      <c r="E55" s="18">
        <v>2078</v>
      </c>
      <c r="F55" s="18"/>
      <c r="G55" s="18"/>
      <c r="H55" s="18"/>
      <c r="I55" s="3">
        <f t="shared" si="8"/>
        <v>6.3640771028037388</v>
      </c>
      <c r="J55" s="3">
        <f t="shared" si="9"/>
        <v>1.9072444081392894</v>
      </c>
    </row>
    <row r="56" spans="1:10" x14ac:dyDescent="0.35">
      <c r="A56" s="2">
        <v>2021</v>
      </c>
      <c r="B56" s="2" t="s">
        <v>7</v>
      </c>
      <c r="C56" s="18">
        <v>1701.4</v>
      </c>
      <c r="D56" s="18">
        <v>236.2</v>
      </c>
      <c r="E56" s="18">
        <v>3041</v>
      </c>
      <c r="F56" s="18"/>
      <c r="G56" s="18"/>
      <c r="H56" s="18"/>
      <c r="I56" s="3">
        <f t="shared" si="8"/>
        <v>7.2032176121930576</v>
      </c>
      <c r="J56" s="3">
        <f t="shared" si="9"/>
        <v>1.7873515928059245</v>
      </c>
    </row>
    <row r="57" spans="1:10" x14ac:dyDescent="0.35">
      <c r="A57" s="2">
        <v>2021</v>
      </c>
      <c r="B57" s="2" t="s">
        <v>8</v>
      </c>
      <c r="C57" s="18">
        <v>1234.97</v>
      </c>
      <c r="D57" s="18">
        <v>180.9</v>
      </c>
      <c r="E57" s="18">
        <v>2260</v>
      </c>
      <c r="F57" s="18"/>
      <c r="G57" s="18"/>
      <c r="H57" s="18"/>
      <c r="I57" s="3">
        <f t="shared" si="8"/>
        <v>6.8268103924820345</v>
      </c>
      <c r="J57" s="3">
        <f t="shared" si="9"/>
        <v>1.8300039677077176</v>
      </c>
    </row>
    <row r="58" spans="1:10" x14ac:dyDescent="0.35">
      <c r="A58" s="2">
        <v>2021</v>
      </c>
      <c r="B58" s="2" t="s">
        <v>9</v>
      </c>
      <c r="C58" s="18">
        <v>1524.01</v>
      </c>
      <c r="D58" s="18">
        <v>227.8</v>
      </c>
      <c r="E58" s="18">
        <v>2763</v>
      </c>
      <c r="F58" s="18"/>
      <c r="G58" s="18"/>
      <c r="H58" s="18"/>
      <c r="I58" s="3">
        <f t="shared" si="8"/>
        <v>6.690122914837576</v>
      </c>
      <c r="J58" s="3">
        <f t="shared" si="9"/>
        <v>1.8129802297885185</v>
      </c>
    </row>
    <row r="59" spans="1:10" x14ac:dyDescent="0.35">
      <c r="A59" s="2">
        <v>2020</v>
      </c>
      <c r="B59" s="2" t="s">
        <v>10</v>
      </c>
      <c r="C59" s="18">
        <v>1806.11</v>
      </c>
      <c r="D59" s="18">
        <v>276.3</v>
      </c>
      <c r="E59" s="18">
        <v>2926</v>
      </c>
      <c r="F59" s="18"/>
      <c r="G59" s="18"/>
      <c r="H59" s="18"/>
      <c r="I59" s="3">
        <f t="shared" si="8"/>
        <v>6.5367716250452403</v>
      </c>
      <c r="J59" s="3">
        <f t="shared" si="9"/>
        <v>1.6200563642303072</v>
      </c>
    </row>
    <row r="60" spans="1:10" x14ac:dyDescent="0.35">
      <c r="A60" s="2">
        <v>2020</v>
      </c>
      <c r="B60" s="2" t="s">
        <v>11</v>
      </c>
      <c r="C60" s="18">
        <v>1066.67</v>
      </c>
      <c r="D60" s="18">
        <v>169</v>
      </c>
      <c r="E60" s="18">
        <v>1662</v>
      </c>
      <c r="F60" s="18"/>
      <c r="G60" s="18"/>
      <c r="H60" s="18"/>
      <c r="I60" s="3">
        <f t="shared" si="8"/>
        <v>6.3116568047337278</v>
      </c>
      <c r="J60" s="3">
        <f t="shared" si="9"/>
        <v>1.5581201308745909</v>
      </c>
    </row>
    <row r="61" spans="1:10" x14ac:dyDescent="0.35">
      <c r="A61" s="2">
        <v>2020</v>
      </c>
      <c r="B61" s="2" t="s">
        <v>12</v>
      </c>
      <c r="C61" s="18">
        <v>1079.82</v>
      </c>
      <c r="D61" s="18">
        <v>188.8</v>
      </c>
      <c r="E61" s="18">
        <v>2125</v>
      </c>
      <c r="F61" s="18"/>
      <c r="G61" s="18"/>
      <c r="H61" s="18"/>
      <c r="I61" s="3">
        <f t="shared" si="8"/>
        <v>5.7193855932203386</v>
      </c>
      <c r="J61" s="3">
        <f t="shared" si="9"/>
        <v>1.9679205793558188</v>
      </c>
    </row>
    <row r="62" spans="1:10" x14ac:dyDescent="0.35">
      <c r="A62" s="2">
        <v>2020</v>
      </c>
      <c r="B62" s="2" t="s">
        <v>13</v>
      </c>
      <c r="C62" s="18">
        <v>1265.95</v>
      </c>
      <c r="D62" s="18">
        <v>258.7</v>
      </c>
      <c r="E62" s="18">
        <v>3049</v>
      </c>
      <c r="F62" s="18"/>
      <c r="G62" s="18"/>
      <c r="H62" s="18"/>
      <c r="I62" s="3">
        <f t="shared" si="8"/>
        <v>4.8935059914959416</v>
      </c>
      <c r="J62" s="3">
        <f t="shared" si="9"/>
        <v>2.4084679489711283</v>
      </c>
    </row>
    <row r="63" spans="1:10" x14ac:dyDescent="0.35">
      <c r="A63" s="2">
        <v>2020</v>
      </c>
      <c r="B63" s="2" t="s">
        <v>14</v>
      </c>
      <c r="C63" s="18">
        <v>1204.3399999999999</v>
      </c>
      <c r="D63" s="18">
        <v>257.2</v>
      </c>
      <c r="E63" s="18">
        <v>3283</v>
      </c>
      <c r="F63" s="18"/>
      <c r="G63" s="18"/>
      <c r="H63" s="18"/>
      <c r="I63" s="3">
        <f t="shared" si="8"/>
        <v>4.6825038880248835</v>
      </c>
      <c r="J63" s="3">
        <f t="shared" si="9"/>
        <v>2.7259743926133817</v>
      </c>
    </row>
    <row r="64" spans="1:10" x14ac:dyDescent="0.35">
      <c r="A64" s="2">
        <v>2020</v>
      </c>
      <c r="B64" s="2" t="s">
        <v>15</v>
      </c>
      <c r="C64" s="18">
        <v>1866.33</v>
      </c>
      <c r="D64" s="18">
        <v>337.8</v>
      </c>
      <c r="E64" s="18">
        <v>4043</v>
      </c>
      <c r="F64" s="18"/>
      <c r="G64" s="18"/>
      <c r="H64" s="18"/>
      <c r="I64" s="3">
        <f t="shared" si="8"/>
        <v>5.5249555950266425</v>
      </c>
      <c r="J64" s="3">
        <f t="shared" si="9"/>
        <v>2.1662835618566922</v>
      </c>
    </row>
    <row r="65" spans="1:10" x14ac:dyDescent="0.35">
      <c r="A65" s="2">
        <v>2020</v>
      </c>
      <c r="B65" s="2" t="s">
        <v>16</v>
      </c>
      <c r="C65" s="18">
        <v>856.29</v>
      </c>
      <c r="D65" s="18">
        <v>169.2</v>
      </c>
      <c r="E65" s="18">
        <v>1988</v>
      </c>
      <c r="F65" s="18"/>
      <c r="G65" s="18"/>
      <c r="H65" s="18"/>
      <c r="I65" s="3">
        <f t="shared" si="8"/>
        <v>5.0608156028368798</v>
      </c>
      <c r="J65" s="3">
        <f t="shared" si="9"/>
        <v>2.3216433684849758</v>
      </c>
    </row>
    <row r="66" spans="1:10" x14ac:dyDescent="0.35">
      <c r="A66" s="2">
        <v>2020</v>
      </c>
      <c r="B66" s="2" t="s">
        <v>5</v>
      </c>
      <c r="C66" s="18">
        <v>208.87</v>
      </c>
      <c r="D66" s="18">
        <v>77.400000000000006</v>
      </c>
      <c r="E66" s="18">
        <v>989</v>
      </c>
      <c r="F66" s="18"/>
      <c r="G66" s="18"/>
      <c r="H66" s="18"/>
      <c r="I66" s="3">
        <f t="shared" si="8"/>
        <v>2.6985788113695088</v>
      </c>
      <c r="J66" s="3">
        <f t="shared" si="9"/>
        <v>4.7350026332168333</v>
      </c>
    </row>
    <row r="67" spans="1:10" x14ac:dyDescent="0.35">
      <c r="A67" s="2">
        <v>2020</v>
      </c>
      <c r="B67" s="2" t="s">
        <v>6</v>
      </c>
      <c r="C67" s="18">
        <v>217.95</v>
      </c>
      <c r="D67" s="18">
        <v>49</v>
      </c>
      <c r="E67" s="18">
        <v>626</v>
      </c>
      <c r="F67" s="18"/>
      <c r="G67" s="18"/>
      <c r="H67" s="18"/>
      <c r="I67" s="3">
        <f t="shared" si="8"/>
        <v>4.4479591836734693</v>
      </c>
      <c r="J67" s="3">
        <f t="shared" si="9"/>
        <v>2.8722183987153018</v>
      </c>
    </row>
    <row r="68" spans="1:10" x14ac:dyDescent="0.35">
      <c r="A68" s="2">
        <v>2020</v>
      </c>
      <c r="B68" s="2" t="s">
        <v>7</v>
      </c>
      <c r="C68" s="18">
        <v>207.97</v>
      </c>
      <c r="D68" s="18">
        <v>47.4</v>
      </c>
      <c r="E68" s="18">
        <v>727</v>
      </c>
      <c r="F68" s="18"/>
      <c r="G68" s="18"/>
      <c r="H68" s="18"/>
      <c r="I68" s="3">
        <f t="shared" si="8"/>
        <v>4.3875527426160339</v>
      </c>
      <c r="J68" s="3">
        <f t="shared" si="9"/>
        <v>3.4956964946867335</v>
      </c>
    </row>
    <row r="69" spans="1:10" x14ac:dyDescent="0.35">
      <c r="A69" s="2">
        <v>2020</v>
      </c>
      <c r="B69" s="2" t="s">
        <v>8</v>
      </c>
      <c r="C69" s="18">
        <v>92.68</v>
      </c>
      <c r="D69" s="18">
        <v>43.7</v>
      </c>
      <c r="E69" s="18">
        <v>1026</v>
      </c>
      <c r="F69" s="18"/>
      <c r="G69" s="18"/>
      <c r="H69" s="18"/>
      <c r="I69" s="3">
        <f t="shared" si="8"/>
        <v>2.1208237986270024</v>
      </c>
      <c r="J69" s="3">
        <f t="shared" si="9"/>
        <v>11.070349589987051</v>
      </c>
    </row>
    <row r="70" spans="1:10" x14ac:dyDescent="0.35">
      <c r="A70" s="2">
        <v>2020</v>
      </c>
      <c r="B70" s="2" t="s">
        <v>9</v>
      </c>
      <c r="C70" s="18">
        <v>404.01</v>
      </c>
      <c r="D70" s="18">
        <v>120.9</v>
      </c>
      <c r="E70" s="18">
        <v>1852</v>
      </c>
      <c r="F70" s="18"/>
      <c r="G70" s="18"/>
      <c r="H70" s="18"/>
      <c r="I70" s="3">
        <f t="shared" si="8"/>
        <v>3.3416873449131512</v>
      </c>
      <c r="J70" s="3">
        <f t="shared" si="9"/>
        <v>4.5840449493824416</v>
      </c>
    </row>
    <row r="71" spans="1:10" x14ac:dyDescent="0.35">
      <c r="A71" s="2">
        <v>2019</v>
      </c>
      <c r="B71" s="2" t="s">
        <v>10</v>
      </c>
      <c r="C71" s="18">
        <v>368.26</v>
      </c>
      <c r="D71" s="18">
        <v>113.6</v>
      </c>
      <c r="E71" s="18">
        <v>1610</v>
      </c>
      <c r="F71" s="18"/>
      <c r="G71" s="18"/>
      <c r="H71" s="18"/>
      <c r="I71" s="3">
        <f t="shared" si="8"/>
        <v>3.2417253521126761</v>
      </c>
      <c r="J71" s="3">
        <f t="shared" si="9"/>
        <v>4.3719111497311687</v>
      </c>
    </row>
    <row r="72" spans="1:10" x14ac:dyDescent="0.35">
      <c r="A72" s="2">
        <v>2019</v>
      </c>
      <c r="B72" s="2" t="s">
        <v>11</v>
      </c>
      <c r="C72" s="18">
        <v>355.69</v>
      </c>
      <c r="D72" s="18">
        <v>90.2</v>
      </c>
      <c r="E72" s="18">
        <v>1086</v>
      </c>
      <c r="F72" s="18"/>
      <c r="G72" s="18"/>
      <c r="H72" s="18"/>
      <c r="I72" s="3">
        <f t="shared" si="8"/>
        <v>3.9433481152993348</v>
      </c>
      <c r="J72" s="3">
        <f t="shared" si="9"/>
        <v>3.05322050099806</v>
      </c>
    </row>
    <row r="73" spans="1:10" x14ac:dyDescent="0.35">
      <c r="A73" s="2">
        <v>2019</v>
      </c>
      <c r="B73" s="2" t="s">
        <v>12</v>
      </c>
      <c r="C73" s="18">
        <v>783.1</v>
      </c>
      <c r="D73" s="18">
        <v>173.7</v>
      </c>
      <c r="E73" s="18">
        <v>2325</v>
      </c>
      <c r="F73" s="18"/>
      <c r="G73" s="18"/>
      <c r="H73" s="18"/>
      <c r="I73" s="3">
        <f t="shared" si="8"/>
        <v>4.508347725964307</v>
      </c>
      <c r="J73" s="3">
        <f t="shared" si="9"/>
        <v>2.9689694802707187</v>
      </c>
    </row>
    <row r="74" spans="1:10" x14ac:dyDescent="0.35">
      <c r="A74" s="2">
        <v>2019</v>
      </c>
      <c r="B74" s="2" t="s">
        <v>13</v>
      </c>
      <c r="C74" s="18">
        <v>553.51</v>
      </c>
      <c r="D74" s="18">
        <v>132.19999999999999</v>
      </c>
      <c r="E74" s="18">
        <v>1626</v>
      </c>
      <c r="F74" s="18"/>
      <c r="G74" s="18"/>
      <c r="H74" s="18"/>
      <c r="I74" s="3">
        <f t="shared" si="8"/>
        <v>4.1869137670196679</v>
      </c>
      <c r="J74" s="3">
        <f t="shared" si="9"/>
        <v>2.9376163032284874</v>
      </c>
    </row>
    <row r="75" spans="1:10" x14ac:dyDescent="0.35">
      <c r="A75" s="2">
        <v>2019</v>
      </c>
      <c r="B75" s="2" t="s">
        <v>14</v>
      </c>
      <c r="C75" s="18">
        <v>541.26</v>
      </c>
      <c r="D75" s="18">
        <v>138.80000000000001</v>
      </c>
      <c r="E75" s="18">
        <v>1594</v>
      </c>
      <c r="F75" s="18"/>
      <c r="G75" s="18"/>
      <c r="H75" s="18"/>
      <c r="I75" s="3">
        <f t="shared" si="8"/>
        <v>3.8995677233429391</v>
      </c>
      <c r="J75" s="3">
        <f t="shared" si="9"/>
        <v>2.9449802313121238</v>
      </c>
    </row>
    <row r="76" spans="1:10" x14ac:dyDescent="0.35">
      <c r="A76" s="2">
        <v>2019</v>
      </c>
      <c r="B76" s="2" t="s">
        <v>15</v>
      </c>
      <c r="C76" s="18">
        <v>597.30999999999995</v>
      </c>
      <c r="D76" s="18">
        <v>163.30000000000001</v>
      </c>
      <c r="E76" s="18">
        <v>2003</v>
      </c>
      <c r="F76" s="18"/>
      <c r="G76" s="18"/>
      <c r="H76" s="18"/>
      <c r="I76" s="3">
        <f t="shared" si="8"/>
        <v>3.6577464788732388</v>
      </c>
      <c r="J76" s="3">
        <f t="shared" si="9"/>
        <v>3.3533675980646569</v>
      </c>
    </row>
    <row r="77" spans="1:10" x14ac:dyDescent="0.35">
      <c r="A77" s="2">
        <v>2019</v>
      </c>
      <c r="B77" s="2" t="s">
        <v>16</v>
      </c>
      <c r="C77" s="18">
        <v>342.59</v>
      </c>
      <c r="D77" s="18">
        <v>87.8</v>
      </c>
      <c r="E77" s="18">
        <v>1068</v>
      </c>
      <c r="F77" s="18"/>
      <c r="G77" s="18"/>
      <c r="H77" s="18"/>
      <c r="I77" s="3">
        <f t="shared" si="8"/>
        <v>3.9019362186788151</v>
      </c>
      <c r="J77" s="3">
        <f t="shared" si="9"/>
        <v>3.1174289967599758</v>
      </c>
    </row>
    <row r="78" spans="1:10" x14ac:dyDescent="0.35">
      <c r="A78" s="2">
        <v>2019</v>
      </c>
      <c r="B78" s="2" t="s">
        <v>5</v>
      </c>
      <c r="C78" s="18">
        <v>237.91</v>
      </c>
      <c r="D78" s="18">
        <v>71.599999999999994</v>
      </c>
      <c r="E78" s="18">
        <v>928</v>
      </c>
      <c r="F78" s="18"/>
      <c r="G78" s="18"/>
      <c r="H78" s="18"/>
      <c r="I78" s="3">
        <f t="shared" si="8"/>
        <v>3.3227653631284917</v>
      </c>
      <c r="J78" s="3">
        <f t="shared" si="9"/>
        <v>3.90063469379177</v>
      </c>
    </row>
    <row r="79" spans="1:10" x14ac:dyDescent="0.35">
      <c r="A79" s="2">
        <v>2019</v>
      </c>
      <c r="B79" s="2" t="s">
        <v>6</v>
      </c>
      <c r="C79" s="18">
        <v>55.97</v>
      </c>
      <c r="D79" s="18">
        <v>19.5</v>
      </c>
      <c r="E79" s="18">
        <v>255</v>
      </c>
      <c r="F79" s="18"/>
      <c r="G79" s="18"/>
      <c r="H79" s="18"/>
      <c r="I79" s="3">
        <f t="shared" si="8"/>
        <v>2.8702564102564101</v>
      </c>
      <c r="J79" s="3">
        <f t="shared" si="9"/>
        <v>4.5560121493657322</v>
      </c>
    </row>
    <row r="80" spans="1:10" x14ac:dyDescent="0.35">
      <c r="A80" s="2">
        <v>2019</v>
      </c>
      <c r="B80" s="2" t="s">
        <v>7</v>
      </c>
      <c r="C80" s="18">
        <v>4.87</v>
      </c>
      <c r="D80" s="18">
        <v>2.2999999999999998</v>
      </c>
      <c r="E80" s="18">
        <v>22</v>
      </c>
      <c r="F80" s="18"/>
      <c r="G80" s="18"/>
      <c r="H80" s="18"/>
      <c r="I80" s="3">
        <f t="shared" si="8"/>
        <v>2.1173913043478261</v>
      </c>
      <c r="J80" s="3">
        <f t="shared" si="9"/>
        <v>4.517453798767967</v>
      </c>
    </row>
    <row r="81" spans="1:10" x14ac:dyDescent="0.35">
      <c r="A81" s="2">
        <v>2019</v>
      </c>
      <c r="B81" s="2" t="s">
        <v>8</v>
      </c>
      <c r="C81" s="18">
        <v>1</v>
      </c>
      <c r="D81" s="18">
        <v>1</v>
      </c>
      <c r="E81" s="18">
        <v>1</v>
      </c>
      <c r="F81" s="18"/>
      <c r="G81" s="18"/>
      <c r="H81" s="18"/>
      <c r="I81" s="3">
        <f t="shared" si="8"/>
        <v>1</v>
      </c>
      <c r="J81" s="3">
        <f t="shared" si="9"/>
        <v>1</v>
      </c>
    </row>
    <row r="82" spans="1:10" x14ac:dyDescent="0.35">
      <c r="A82" s="2">
        <v>2019</v>
      </c>
      <c r="B82" s="2" t="s">
        <v>9</v>
      </c>
      <c r="C82" s="18">
        <v>1</v>
      </c>
      <c r="D82" s="18">
        <v>1</v>
      </c>
      <c r="E82" s="18">
        <v>1</v>
      </c>
      <c r="F82" s="18"/>
      <c r="G82" s="18"/>
      <c r="H82" s="18"/>
      <c r="I82" s="3">
        <f t="shared" si="8"/>
        <v>1</v>
      </c>
      <c r="J82" s="3">
        <f t="shared" si="9"/>
        <v>1</v>
      </c>
    </row>
  </sheetData>
  <autoFilter ref="A1:J82" xr:uid="{3DFEE9A8-96B4-4338-BEB2-3F3FAE19909E}"/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CA573-B2B1-423D-9285-E0A998537D1D}">
  <dimension ref="A1:B9"/>
  <sheetViews>
    <sheetView workbookViewId="0">
      <selection activeCell="B10" sqref="B10"/>
    </sheetView>
  </sheetViews>
  <sheetFormatPr defaultRowHeight="14.5" x14ac:dyDescent="0.35"/>
  <cols>
    <col min="2" max="2" width="23.36328125" bestFit="1" customWidth="1"/>
  </cols>
  <sheetData>
    <row r="1" spans="1:2" x14ac:dyDescent="0.35">
      <c r="A1" t="s">
        <v>38</v>
      </c>
      <c r="B1" t="s">
        <v>39</v>
      </c>
    </row>
    <row r="2" spans="1:2" x14ac:dyDescent="0.35">
      <c r="A2" s="13" t="s">
        <v>0</v>
      </c>
      <c r="B2" t="s">
        <v>40</v>
      </c>
    </row>
    <row r="3" spans="1:2" x14ac:dyDescent="0.35">
      <c r="A3" s="13" t="s">
        <v>1</v>
      </c>
      <c r="B3" t="s">
        <v>41</v>
      </c>
    </row>
    <row r="4" spans="1:2" x14ac:dyDescent="0.35">
      <c r="A4" s="13" t="s">
        <v>2</v>
      </c>
      <c r="B4" t="s">
        <v>42</v>
      </c>
    </row>
    <row r="5" spans="1:2" x14ac:dyDescent="0.35">
      <c r="A5" s="13" t="s">
        <v>33</v>
      </c>
      <c r="B5" t="s">
        <v>43</v>
      </c>
    </row>
    <row r="6" spans="1:2" x14ac:dyDescent="0.35">
      <c r="A6" s="13" t="s">
        <v>34</v>
      </c>
      <c r="B6" t="s">
        <v>44</v>
      </c>
    </row>
    <row r="7" spans="1:2" x14ac:dyDescent="0.35">
      <c r="A7" s="13" t="s">
        <v>35</v>
      </c>
      <c r="B7" t="s">
        <v>45</v>
      </c>
    </row>
    <row r="8" spans="1:2" x14ac:dyDescent="0.35">
      <c r="A8" s="14" t="s">
        <v>36</v>
      </c>
      <c r="B8" t="s">
        <v>46</v>
      </c>
    </row>
    <row r="9" spans="1:2" x14ac:dyDescent="0.35">
      <c r="A9" s="14" t="s">
        <v>37</v>
      </c>
      <c r="B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 por Mes</vt:lpstr>
      <vt:lpstr>Ha por Hora</vt:lpstr>
      <vt:lpstr>Hoja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PRIMS Medicina Funcional</dc:creator>
  <cp:lastModifiedBy>Oswaldo Navarrete Carreño</cp:lastModifiedBy>
  <dcterms:created xsi:type="dcterms:W3CDTF">2025-06-03T17:53:36Z</dcterms:created>
  <dcterms:modified xsi:type="dcterms:W3CDTF">2025-11-18T19:25:30Z</dcterms:modified>
</cp:coreProperties>
</file>